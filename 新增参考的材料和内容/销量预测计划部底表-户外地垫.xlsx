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worksheets/sheet12.xml" ContentType="application/vnd.openxmlformats-officedocument.spreadsheetml.worksheet+xml"/>
  <Override PartName="/xl/comments2.xml" ContentType="application/vnd.openxmlformats-officedocument.spreadsheetml.comments+xml"/>
  <Override PartName="/xl/worksheets/sheet13.xml" ContentType="application/vnd.openxmlformats-officedocument.spreadsheetml.worksheet+xml"/>
  <Override PartName="/xl/comments3.xml" ContentType="application/vnd.openxmlformats-officedocument.spreadsheetml.comments+xml"/>
  <Override PartName="/xl/worksheets/sheet14.xml" ContentType="application/vnd.openxmlformats-officedocument.spreadsheetml.worksheet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worksheets/sheet15.xml" ContentType="application/vnd.openxmlformats-officedocument.spreadsheetml.worksheet+xml"/>
  <Override PartName="/xl/pivotTables/pivotTable3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worksheets/sheet16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基础销量预测-计划端" sheetId="2" r:id="rId5"/>
    <sheet name="产品基础信息" sheetId="3" r:id="rId6"/>
    <sheet name="历史月度销量" sheetId="4" r:id="rId7"/>
    <sheet name="行业大盘数据" sheetId="5" r:id="rId8"/>
    <sheet name="竞品数据(参考)" sheetId="6" r:id="rId9"/>
    <sheet name="BSR占比" sheetId="7" r:id="rId10" state="hidden"/>
    <sheet name="BSR" sheetId="8" r:id="rId11" state="hidden"/>
    <sheet name="加拿大" sheetId="9" r:id="rId12" state="hidden"/>
    <sheet name="BSR目标" sheetId="10" r:id="rId13" state="hidden"/>
    <sheet name="大盘趋势" sheetId="11" r:id="rId14" state="hidden"/>
    <sheet name="26年实际销量" sheetId="12" r:id="rId16"/>
    <sheet name="25年实际销量" sheetId="13" r:id="rId17"/>
    <sheet name="BSR底表-美国" sheetId="14" r:id="rId18"/>
    <sheet name="BSR底表-加拿大" sheetId="15" r:id="rId20"/>
    <sheet name="Sheet15" sheetId="16" r:id="rId22"/>
  </sheets>
  <calcPr calcMode="auto"/>
  <pivotCaches>
    <pivotCache cacheId="1" r:id="rId15"/>
    <pivotCache cacheId="2" r:id="rId19"/>
    <pivotCache cacheId="3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7" i="2" a="true"/>
  <c r="V37" i="2" a="true"/>
  <c r="A45" i="2" a="true"/>
  <c r="V45" i="2" a="true"/>
  <c r="L5" i="2" a="true"/>
  <c r="M5" i="2" a="true"/>
  <c r="N5" i="2" a="true"/>
  <c r="Q5" i="2" a="true"/>
  <c r="R5" i="2" a="true"/>
  <c r="A21" i="2" a="true"/>
  <c r="A29" i="2" a="true"/>
  <c r="N8" i="2" a="true"/>
  <c r="Q8" i="2" a="true"/>
  <c r="R8" i="2" a="true"/>
  <c r="L8" i="2" a="true"/>
  <c r="M8" i="2" a="true"/>
  <c r="A24" i="2" a="true"/>
  <c r="A40" i="2" a="true"/>
  <c r="V40" i="2" a="true"/>
  <c r="L7" i="2" a="true"/>
  <c r="M7" i="2" a="true"/>
  <c r="N7" i="2" a="true"/>
  <c r="Q7" i="2" a="true"/>
  <c r="R7" i="2" a="true"/>
  <c r="A23" i="2" a="true"/>
  <c r="A39" i="2" a="true"/>
  <c r="V39" i="2" a="true"/>
  <c r="A42" i="2" a="true"/>
  <c r="V42" i="2" a="true"/>
  <c r="A18" i="2" a="true"/>
  <c r="A26" i="2" a="true"/>
  <c r="V34" i="2" a="true"/>
  <c r="A34" i="2" a="true"/>
  <c r="A41" i="2" a="true"/>
  <c r="V41" i="2" a="true"/>
  <c r="M9" i="2" a="true"/>
  <c r="N9" i="2" a="true"/>
  <c r="Q9" i="2" a="true"/>
  <c r="R9" i="2" a="true"/>
  <c r="L9" i="2" a="true"/>
  <c r="A17" i="2" a="true"/>
  <c r="A25" i="2" a="true"/>
  <c r="A36" i="2" a="true"/>
  <c r="V36" i="2" a="true"/>
  <c r="A44" i="2" a="true"/>
  <c r="V44" i="2" a="true"/>
  <c r="L4" i="2" a="true"/>
  <c r="M4" i="2" a="true"/>
  <c r="N4" i="2" a="true"/>
  <c r="Q4" i="2" a="true"/>
  <c r="R4" i="2" a="true"/>
  <c r="A20" i="2" a="true"/>
  <c r="A28" i="2" a="true"/>
  <c r="A35" i="2" a="true"/>
  <c r="V35" i="2" a="true"/>
  <c r="A43" i="2" a="true"/>
  <c r="V43" i="2" a="true"/>
  <c r="N3" i="2" a="true"/>
  <c r="Q3" i="2" a="true"/>
  <c r="R3" i="2" a="true"/>
  <c r="L3" i="2" a="true"/>
  <c r="M3" i="2" a="true"/>
  <c r="A19" i="2" a="true"/>
  <c r="A27" i="2" a="true"/>
  <c r="A46" i="2" a="true"/>
  <c r="V46" i="2" a="true"/>
  <c r="L6" i="2" a="true"/>
  <c r="M6" i="2" a="true"/>
  <c r="N6" i="2" a="true"/>
  <c r="Q6" i="2" a="true"/>
  <c r="R6" i="2" a="true"/>
  <c r="A22" i="2" a="true"/>
  <c r="A38" i="2" a="true"/>
  <c r="V38" i="2" a="true"/>
  <c r="A3" i="4" a="true"/>
  <c r="BR3" i="4" a="true"/>
  <c r="BW3" i="4" a="true"/>
  <c r="A5" i="4" a="true"/>
  <c r="BR5" i="4" a="true"/>
  <c r="BW5" i="4" a="true"/>
  <c r="A7" i="4" a="true"/>
  <c r="BR7" i="4" a="true"/>
  <c r="BW7" i="4" a="true"/>
  <c r="BW9" i="4" a="true"/>
  <c r="A9" i="4" a="true"/>
  <c r="BR9" i="4" a="true"/>
  <c r="BR11" i="4" a="true"/>
  <c r="BW11" i="4" a="true"/>
  <c r="A11" i="4" a="true"/>
  <c r="A13" i="4" a="true"/>
  <c r="BR13" i="4" a="true"/>
  <c r="BW13" i="4" a="true"/>
  <c r="A15" i="4" a="true"/>
  <c r="BR15" i="4" a="true"/>
  <c r="BW15" i="4" a="true"/>
  <c r="A4" i="4" a="true"/>
  <c r="BR4" i="4" a="true"/>
  <c r="BW4" i="4" a="true"/>
  <c r="A6" i="4" a="true"/>
  <c r="BR6" i="4" a="true"/>
  <c r="BW6" i="4" a="true"/>
  <c r="BW8" i="4" a="true"/>
  <c r="A8" i="4" a="true"/>
  <c r="BR8" i="4" a="true"/>
  <c r="A10" i="4" a="true"/>
  <c r="BR10" i="4" a="true"/>
  <c r="BW10" i="4" a="true"/>
  <c r="A12" i="4" a="true"/>
  <c r="BR12" i="4" a="true"/>
  <c r="BW12" i="4" a="true"/>
  <c r="BR14" i="4" a="true"/>
  <c r="BW14" i="4" a="true"/>
  <c r="A14" i="4" a="true"/>
  <c r="A3" i="13" a="true"/>
  <c r="A11" i="13" a="true"/>
  <c r="A15" i="13" a="true"/>
  <c r="A18" i="13" a="true"/>
  <c r="A22" i="13" a="true"/>
  <c r="A4" i="13" a="true"/>
  <c r="A7" i="13" a="true"/>
  <c r="A16" i="13" a="true"/>
  <c r="A19" i="13" a="true"/>
  <c r="A23" i="13" a="true"/>
  <c r="A5" i="13" a="true"/>
  <c r="A9" i="13" a="true"/>
  <c r="A20" i="13" a="true"/>
  <c r="A24" i="13" a="true"/>
  <c r="A2" i="13" a="true"/>
  <c r="A6" i="13" a="true"/>
  <c r="A14" i="13" a="true"/>
  <c r="A17" i="13" a="true"/>
  <c r="A21" i="13" a="true"/>
  <c r="A48" i="12" a="true"/>
  <c r="A56" i="12" a="true"/>
  <c r="A8" i="12" a="true"/>
  <c r="A16" i="12" a="true"/>
  <c r="A24" i="12" a="true"/>
  <c r="A32" i="12" a="true"/>
  <c r="A40" i="12" a="true"/>
  <c r="A47" i="12" a="true"/>
  <c r="A55" i="12" a="true"/>
  <c r="A7" i="12" a="true"/>
  <c r="A15" i="12" a="true"/>
  <c r="A23" i="12" a="true"/>
  <c r="A31" i="12" a="true"/>
  <c r="A39" i="12" a="true"/>
  <c r="A46" i="12" a="true"/>
  <c r="A54" i="12" a="true"/>
  <c r="A6" i="12" a="true"/>
  <c r="A14" i="12" a="true"/>
  <c r="A22" i="12" a="true"/>
  <c r="A30" i="12" a="true"/>
  <c r="A38" i="12" a="true"/>
  <c r="A45" i="12" a="true"/>
  <c r="A53" i="12" a="true"/>
  <c r="A5" i="12" a="true"/>
  <c r="A13" i="12" a="true"/>
  <c r="A21" i="12" a="true"/>
  <c r="A29" i="12" a="true"/>
  <c r="A37" i="12" a="true"/>
  <c r="A44" i="12" a="true"/>
  <c r="A52" i="12" a="true"/>
  <c r="A4" i="12" a="true"/>
  <c r="A12" i="12" a="true"/>
  <c r="A20" i="12" a="true"/>
  <c r="A28" i="12" a="true"/>
  <c r="A36" i="12" a="true"/>
  <c r="A43" i="12" a="true"/>
  <c r="A51" i="12" a="true"/>
  <c r="A3" i="12" a="true"/>
  <c r="A11" i="12" a="true"/>
  <c r="A19" i="12" a="true"/>
  <c r="A27" i="12" a="true"/>
  <c r="A35" i="12" a="true"/>
  <c r="A42" i="12" a="true"/>
  <c r="A50" i="12" a="true"/>
  <c r="A2" i="12" a="true"/>
  <c r="A10" i="12" a="true"/>
  <c r="A18" i="12" a="true"/>
  <c r="A26" i="12" a="true"/>
  <c r="A34" i="12" a="true"/>
  <c r="A49" i="12" a="true"/>
  <c r="A57" i="12" a="true"/>
  <c r="A9" i="12" a="true"/>
  <c r="A17" i="12" a="true"/>
  <c r="A25" i="12" a="true"/>
  <c r="A33" i="12" a="true"/>
  <c r="A41" i="12" a="true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6" authorId="0" shapeId="0" xr:uid="{6586b4f7-35fe-41ed-bab0-a705b6c20405}">
      <text>
        <r>
          <rPr>
            <b val="false"/>
            <i val="false"/>
            <strike val="false"/>
            <sz val="9"/>
            <color rgb="FF000000"/>
            <rFont val="宋体"/>
          </rPr>
          <t xml:space="preserve">只取PD03销量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b5467a5a-60af-4df7-b96a-096239050c8a}">
      <text>
        <r>
          <rPr>
            <b val="false"/>
            <i val="false"/>
            <strike val="false"/>
            <sz val="10"/>
            <color rgb="FF000000"/>
            <rFont val="宋体"/>
          </rPr>
          <t>格式：单个数字，不能写区间和文字</t>
        </r>
      </text>
    </comment>
    <comment ref="R28" authorId="0" shapeId="0" xr:uid="{53b49d76-0e5f-43d5-8044-0884e2f642e4}">
      <text>
        <r>
          <rPr>
            <b val="false"/>
            <i val="false"/>
            <strike val="false"/>
            <sz val="10"/>
            <color rgb="FF000000"/>
            <rFont val="宋体"/>
          </rPr>
          <t xml:space="preserve">实际销量：6194 完成率：1.032%
</t>
        </r>
      </text>
    </comment>
    <comment ref="S28" authorId="0" shapeId="0" xr:uid="{d766be78-5ed3-47c8-b322-6d470e338c8f}">
      <text>
        <r>
          <rPr>
            <b val="false"/>
            <i val="false"/>
            <strike val="false"/>
            <sz val="10"/>
            <color rgb="FF000000"/>
            <rFont val="宋体"/>
          </rPr>
          <t xml:space="preserve">加上合链接5914
实际达成107%</t>
        </r>
      </text>
    </comment>
    <comment ref="T28" authorId="0" shapeId="0" xr:uid="{ecd84a88-1c8b-45a5-8950-88781502f3ac}">
      <text>
        <r>
          <rPr>
            <b val="false"/>
            <i val="false"/>
            <strike val="false"/>
            <sz val="10"/>
            <color rgb="FF000000"/>
            <rFont val="宋体"/>
          </rPr>
          <t xml:space="preserve">加上合链接7268
实际达成125%</t>
        </r>
      </text>
    </comment>
    <comment ref="G40" authorId="0" shapeId="0" xr:uid="{ba3e66fc-2262-41c8-8f91-c4a047e5844a}">
      <text>
        <r>
          <rPr>
            <b val="false"/>
            <i val="false"/>
            <strike val="false"/>
            <sz val="10"/>
            <color rgb="FF000000"/>
            <rFont val="宋体"/>
          </rPr>
          <t xml:space="preserve">预估一轮测款数据和市场数据3-4月能出，预估4月底前出画稿，4月中下单，7月中到货，预填的总数不分月
</t>
        </r>
      </text>
    </comment>
    <comment ref="G42" authorId="0" shapeId="0" xr:uid="{0013bbe1-58e4-43ae-9912-8ea4590dbe29}">
      <text>
        <r>
          <rPr>
            <b val="false"/>
            <i val="false"/>
            <strike val="false"/>
            <sz val="10"/>
            <color rgb="FF000000"/>
            <rFont val="宋体"/>
          </rPr>
          <t>预填总量，不分月</t>
        </r>
      </text>
    </comment>
    <comment ref="G43" authorId="0" shapeId="0" xr:uid="{ab3b6e28-f136-48a0-b7c4-c8cad7a1585c}">
      <text>
        <r>
          <rPr>
            <b val="false"/>
            <i val="false"/>
            <strike val="false"/>
            <sz val="10"/>
            <color rgb="FF000000"/>
            <rFont val="宋体"/>
          </rPr>
          <t>参照SMZ015定位，2026年至少测款成功一条稳定链接2027能翻单</t>
        </r>
      </text>
    </comment>
    <comment ref="G44" authorId="0" shapeId="0" xr:uid="{665c644b-4a4b-499a-9b93-929fcdb23a76}">
      <text>
        <r>
          <rPr>
            <b val="false"/>
            <i val="false"/>
            <strike val="false"/>
            <sz val="10"/>
            <color rgb="FF000000"/>
            <rFont val="宋体"/>
          </rPr>
          <t xml:space="preserve">同步翻单美国站测款成功链接
</t>
        </r>
      </text>
    </comment>
    <comment ref="G45" authorId="0" shapeId="0" xr:uid="{699a836e-b648-4b05-a725-a4e236a0b6f1}">
      <text>
        <r>
          <rPr>
            <b val="false"/>
            <i val="false"/>
            <strike val="false"/>
            <sz val="10"/>
            <color rgb="FF000000"/>
            <rFont val="宋体"/>
          </rPr>
          <t xml:space="preserve">目前有BCF,预估12月确认打样，年前出货，4月到货，最迟5月到货，最迟6月中出数据，二轮翻单到货时间为9月中，大概率同smz测款逻辑，淡季测上限和销售情况（目前只能做到6x9尺寸）；
10月规划只是做预测，至少要翻单一条中高客单价新材质链接做淡季测试</t>
        </r>
      </text>
    </comment>
    <comment ref="G46" authorId="0" shapeId="0" xr:uid="{259005d5-5351-453a-b452-8ac642fc9d93}">
      <text>
        <r>
          <rPr>
            <b val="false"/>
            <i val="false"/>
            <strike val="false"/>
            <sz val="10"/>
            <color rgb="FF000000"/>
            <rFont val="宋体"/>
          </rPr>
          <t xml:space="preserve">FBM成功的款式翻单FBA
</t>
        </r>
      </text>
    </comment>
    <comment ref="G47" authorId="0" shapeId="0" xr:uid="{936028f6-b81e-45c9-8477-dc652d44f741}">
      <text>
        <r>
          <rPr>
            <b val="false"/>
            <i val="false"/>
            <strike val="false"/>
            <sz val="10"/>
            <color rgb="FF000000"/>
            <rFont val="宋体"/>
          </rPr>
          <t>FBM成功的款式翻单FBA</t>
        </r>
      </text>
    </comment>
    <comment ref="G48" authorId="0" shapeId="0" xr:uid="{8830b63e-6703-44b8-8438-67558ffc5e78}">
      <text>
        <r>
          <rPr>
            <b val="false"/>
            <i val="false"/>
            <strike val="false"/>
            <sz val="10"/>
            <color rgb="FF000000"/>
            <rFont val="宋体"/>
          </rPr>
          <t xml:space="preserve">一轮仿麻二月中上架，3月底出数据，如果顺利可以翻单，不顺利则进行材质改进或者重新设计花型，预设5.1下单，8.1上架
</t>
        </r>
      </text>
    </comment>
    <comment ref="AB56" authorId="0" shapeId="0" xr:uid="{aad78c27-3921-41e1-89dd-d752aee69f7a}">
      <text>
        <r>
          <rPr>
            <b val="false"/>
            <i val="false"/>
            <strike val="false"/>
            <sz val="10"/>
            <color rgb="FF000000"/>
            <rFont val="宋体"/>
          </rPr>
          <t xml:space="preserve">366的数量按照常规款下单数量预估，Q4定绩效会加上圣诞款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2" authorId="0" shapeId="0" xr:uid="{0f98058a-5b71-4b73-903b-3131efd144f2}">
      <text>
        <r>
          <rPr>
            <b val="false"/>
            <i val="false"/>
            <strike val="false"/>
            <sz val="10"/>
            <color rgb="FF000000"/>
            <rFont val="宋体"/>
          </rPr>
          <t>父体销量为15669</t>
        </r>
      </text>
    </comment>
    <comment ref="Q2" authorId="0" shapeId="0" xr:uid="{f9f9f906-831a-47f7-8b87-673f0c3292af}">
      <text>
        <r>
          <rPr>
            <b val="false"/>
            <i val="false"/>
            <strike val="false"/>
            <sz val="10"/>
            <color rgb="FF000000"/>
            <rFont val="宋体"/>
          </rPr>
          <t>父体销量为20510，其他型号销量为1199</t>
        </r>
      </text>
    </comment>
    <comment ref="R2" authorId="0" shapeId="0" xr:uid="{c1ceb24e-ab5a-4563-91ab-db2dca9eabf8}">
      <text>
        <r>
          <rPr>
            <b val="false"/>
            <i val="false"/>
            <strike val="false"/>
            <sz val="10"/>
            <color rgb="FF000000"/>
            <rFont val="宋体"/>
          </rPr>
          <t>父体销量为21334，其他型号销量为3737</t>
        </r>
      </text>
    </comment>
    <comment ref="S2" authorId="0" shapeId="0" xr:uid="{2c4d88ed-78ff-40b8-a823-edbdd8ccb46e}">
      <text>
        <r>
          <rPr>
            <b val="false"/>
            <i val="false"/>
            <strike val="false"/>
            <sz val="10"/>
            <color rgb="FF000000"/>
            <rFont val="宋体"/>
          </rPr>
          <t>父体销量为20226，其他型号销量为6211</t>
        </r>
      </text>
    </comment>
    <comment ref="T2" authorId="0" shapeId="0" xr:uid="{f7a5ea9b-52d3-4236-84b8-0a6e6f751771}">
      <text>
        <r>
          <rPr>
            <b val="false"/>
            <i val="false"/>
            <strike val="false"/>
            <sz val="10"/>
            <color rgb="FF000000"/>
            <rFont val="宋体"/>
          </rPr>
          <t>父体销量13355，其他型号销量2414</t>
        </r>
      </text>
    </comment>
    <comment ref="U2" authorId="0" shapeId="0" xr:uid="{dd38612d-06f8-45f6-ba4d-e64ae6b9d906}">
      <text>
        <r>
          <rPr>
            <b val="false"/>
            <i val="false"/>
            <strike val="false"/>
            <sz val="10"/>
            <color rgb="FF000000"/>
            <rFont val="宋体"/>
          </rPr>
          <t>父体销量7849，其他型号销量756</t>
        </r>
      </text>
    </comment>
    <comment ref="V2" authorId="0" shapeId="0" xr:uid="{07ff018b-d121-4af0-9c83-48eac963ae56}">
      <text>
        <r>
          <rPr>
            <b val="false"/>
            <i val="false"/>
            <strike val="false"/>
            <sz val="10"/>
            <color rgb="FF000000"/>
            <rFont val="宋体"/>
          </rPr>
          <t>父体销量6213，其他型号销量583</t>
        </r>
      </text>
    </comment>
    <comment ref="W2" authorId="0" shapeId="0" xr:uid="{2a37d312-c370-4304-8145-1a1f1c624491}">
      <text>
        <r>
          <rPr>
            <b val="false"/>
            <i val="false"/>
            <strike val="false"/>
            <sz val="10"/>
            <color rgb="FF000000"/>
            <rFont val="宋体"/>
          </rPr>
          <t>父体销量4048，其他型号销量201</t>
        </r>
      </text>
    </comment>
    <comment ref="Q3" authorId="0" shapeId="0" xr:uid="{df36d7ae-d5c4-46ae-a940-f6d966710437}">
      <text>
        <r>
          <rPr>
            <b val="false"/>
            <i val="false"/>
            <strike val="false"/>
            <sz val="10"/>
            <color rgb="FF000000"/>
            <rFont val="宋体"/>
          </rPr>
          <t xml:space="preserve">加上其他sku 总销量：22584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<sst xmlns="http://schemas.openxmlformats.org/spreadsheetml/2006/main" count="773" uniqueCount="773">
  <si>
    <t xml:space="preserve">  </t>
  </si>
  <si>
    <t xml:space="preserve">美国</t>
  </si>
  <si>
    <t xml:space="preserve">大盘参数</t>
  </si>
  <si>
    <t xml:space="preserve">份额调整参数</t>
  </si>
  <si>
    <t xml:space="preserve">份额调整边界</t>
  </si>
  <si>
    <t xml:space="preserve">美国bsr系数（上半年）</t>
  </si>
  <si>
    <t xml:space="preserve">加拿大bsr系数（上半年）</t>
  </si>
  <si>
    <t xml:space="preserve">2025年度大盘同比</t>
  </si>
  <si>
    <t xml:space="preserve">高销量产品月度延续权重</t>
  </si>
  <si>
    <t xml:space="preserve">高销量产品下限</t>
  </si>
  <si>
    <t xml:space="preserve">组别</t>
  </si>
  <si>
    <t xml:space="preserve">24年同比</t>
  </si>
  <si>
    <t xml:space="preserve">25年同比</t>
  </si>
  <si>
    <t xml:space="preserve">2026年同比</t>
  </si>
  <si>
    <t xml:space="preserve">2026H1大盘同比</t>
  </si>
  <si>
    <t xml:space="preserve">低销量产品月度延续权重</t>
  </si>
  <si>
    <t xml:space="preserve">高销量产品上限</t>
  </si>
  <si>
    <t xml:space="preserve">26较25年增降幅，预测27年大盘增降幅</t>
  </si>
  <si>
    <t xml:space="preserve">2027大盘基准增速</t>
  </si>
  <si>
    <t xml:space="preserve">低销量产品上下限</t>
  </si>
  <si>
    <t xml:space="preserve">2-5</t>
  </si>
  <si>
    <t xml:space="preserve">6-10</t>
  </si>
  <si>
    <t xml:space="preserve">加拿大</t>
  </si>
  <si>
    <t xml:space="preserve">11-15</t>
  </si>
  <si>
    <t xml:space="preserve">16-20</t>
  </si>
  <si>
    <t xml:space="preserve">46 - 50</t>
  </si>
  <si>
    <t xml:space="preserve">26较25年增降幅，预测27年大盘降幅</t>
  </si>
  <si>
    <t xml:space="preserve">51 - 80</t>
  </si>
  <si>
    <t xml:space="preserve">1、可调整BSR系数
2、使用4月稳定BSR目标排名</t>
  </si>
  <si>
    <t xml:space="preserve">实际6月已剔除大促销量</t>
  </si>
  <si>
    <t xml:space="preserve">PS：实际销量含PD，预测含PD，整体大盘同比未含PD</t>
  </si>
  <si>
    <t xml:space="preserve">父msku</t>
  </si>
  <si>
    <t xml:space="preserve">站点</t>
  </si>
  <si>
    <t xml:space="preserve">父ASIN</t>
  </si>
  <si>
    <t xml:space="preserve">父体类型</t>
  </si>
  <si>
    <t xml:space="preserve">2025H1销量</t>
  </si>
  <si>
    <t xml:space="preserve">2026H1销量</t>
  </si>
  <si>
    <t xml:space="preserve">自身H1同比</t>
  </si>
  <si>
    <t xml:space="preserve">大盘H1&amp;BSR排名增幅</t>
  </si>
  <si>
    <t xml:space="preserve">相对大盘增量变化</t>
  </si>
  <si>
    <t xml:space="preserve">月度占比份额调整</t>
  </si>
  <si>
    <t xml:space="preserve">保守系数</t>
  </si>
  <si>
    <t xml:space="preserve">乐观系数</t>
  </si>
  <si>
    <t xml:space="preserve">1月保守</t>
  </si>
  <si>
    <t xml:space="preserve">1月正常</t>
  </si>
  <si>
    <t xml:space="preserve">1月乐观</t>
  </si>
  <si>
    <t xml:space="preserve">2月保守</t>
  </si>
  <si>
    <t xml:space="preserve">2月正常</t>
  </si>
  <si>
    <t xml:space="preserve">2月乐观</t>
  </si>
  <si>
    <t xml:space="preserve">3月保守</t>
  </si>
  <si>
    <t xml:space="preserve">3月正常</t>
  </si>
  <si>
    <t xml:space="preserve">3月乐观</t>
  </si>
  <si>
    <t xml:space="preserve">4月保守</t>
  </si>
  <si>
    <t xml:space="preserve">4月正常</t>
  </si>
  <si>
    <t xml:space="preserve">4月乐观</t>
  </si>
  <si>
    <t xml:space="preserve">5月保守</t>
  </si>
  <si>
    <t xml:space="preserve">5月正常</t>
  </si>
  <si>
    <t xml:space="preserve">5月乐观</t>
  </si>
  <si>
    <t xml:space="preserve">6月保守</t>
  </si>
  <si>
    <t xml:space="preserve">6月正常</t>
  </si>
  <si>
    <t xml:space="preserve">6月乐观</t>
  </si>
  <si>
    <t xml:space="preserve">H1保守</t>
  </si>
  <si>
    <t xml:space="preserve">H1正常</t>
  </si>
  <si>
    <t xml:space="preserve">H1乐观</t>
  </si>
  <si>
    <t xml:space="preserve">2027年1月</t>
  </si>
  <si>
    <t xml:space="preserve">2027年2月</t>
  </si>
  <si>
    <t xml:space="preserve">2027年3月</t>
  </si>
  <si>
    <t xml:space="preserve">2027年4月</t>
  </si>
  <si>
    <t xml:space="preserve">2027年5月</t>
  </si>
  <si>
    <t/>
    <r>
      <rPr>
        <b val="true"/>
        <i val="false"/>
        <strike val="false"/>
        <sz val="11"/>
        <color rgb="FF000000"/>
        <rFont val="Carlito"/>
      </rPr>
      <t>2027</t>
    </r>
    <r>
      <rPr>
        <b val="true"/>
        <i val="false"/>
        <strike val="false"/>
        <sz val="11"/>
        <color rgb="FF000000"/>
        <rFont val="宋体"/>
      </rPr>
      <t>年</t>
    </r>
    <r>
      <rPr>
        <b val="true"/>
        <i val="false"/>
        <strike val="false"/>
        <sz val="11"/>
        <color rgb="FF000000"/>
        <rFont val="Carlito"/>
      </rPr>
      <t>6</t>
    </r>
    <r>
      <rPr>
        <b val="true"/>
        <i val="false"/>
        <strike val="false"/>
        <sz val="11"/>
        <color rgb="FF000000"/>
        <rFont val="宋体"/>
      </rPr>
      <t>月</t>
    </r>
  </si>
  <si>
    <t xml:space="preserve">1月正常+</t>
  </si>
  <si>
    <t xml:space="preserve">2月正常+</t>
  </si>
  <si>
    <t xml:space="preserve">3月正常+</t>
  </si>
  <si>
    <t xml:space="preserve">4月正常+</t>
  </si>
  <si>
    <t xml:space="preserve">5月正常+</t>
  </si>
  <si>
    <t xml:space="preserve">6月正常+</t>
  </si>
  <si>
    <t xml:space="preserve">27年1-6月</t>
  </si>
  <si>
    <t xml:space="preserve">26年1-6月</t>
  </si>
  <si>
    <t xml:space="preserve">2月增幅</t>
  </si>
  <si>
    <t xml:space="preserve">3月增幅</t>
  </si>
  <si>
    <t xml:space="preserve">4月增幅</t>
  </si>
  <si>
    <t xml:space="preserve">5月增幅</t>
  </si>
  <si>
    <t xml:space="preserve">6月增幅</t>
  </si>
  <si>
    <t xml:space="preserve">历史1月销量</t>
  </si>
  <si>
    <t xml:space="preserve">历史2月销量</t>
  </si>
  <si>
    <t xml:space="preserve">历史3月销量</t>
  </si>
  <si>
    <t xml:space="preserve">历史4月销量</t>
  </si>
  <si>
    <t xml:space="preserve">历史5月销量</t>
  </si>
  <si>
    <t xml:space="preserve">历史6月销量</t>
  </si>
  <si>
    <t xml:space="preserve">US</t>
  </si>
  <si>
    <t xml:space="preserve">B0CSKDP26Z</t>
  </si>
  <si>
    <t xml:space="preserve">高销量产品</t>
  </si>
  <si>
    <t xml:space="preserve">B0BSKX7ZHN</t>
  </si>
  <si>
    <t xml:space="preserve">B0B2PCVNYJ</t>
  </si>
  <si>
    <t xml:space="preserve">B0CCJ2MH3N</t>
  </si>
  <si>
    <t xml:space="preserve">B0D17P9F9S</t>
  </si>
  <si>
    <t xml:space="preserve">低销量产品</t>
  </si>
  <si>
    <t xml:space="preserve">B0D4PHQJYJ</t>
  </si>
  <si>
    <t xml:space="preserve">B0FWJY4CCQ</t>
  </si>
  <si>
    <t xml:space="preserve">B0DBPK9CTR</t>
  </si>
  <si>
    <t xml:space="preserve">B0DBLYWHF4</t>
  </si>
  <si>
    <t xml:space="preserve">CA</t>
  </si>
  <si>
    <t xml:space="preserve">B0CT5G5TVT</t>
  </si>
  <si>
    <t xml:space="preserve">B0D3J2Q1JM</t>
  </si>
  <si>
    <t xml:space="preserve">B0D3TS4TYR</t>
  </si>
  <si>
    <t xml:space="preserve">B0DRFTHNM8</t>
  </si>
  <si>
    <t xml:space="preserve">实际销量</t>
  </si>
  <si>
    <t xml:space="preserve">父ASIN占位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</si>
  <si>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</si>
  <si>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</si>
  <si>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</si>
  <si>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</si>
  <si>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</si>
  <si>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</si>
  <si>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</si>
  <si>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</si>
  <si>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</si>
  <si>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</si>
  <si>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</si>
  <si>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</si>
  <si>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</si>
  <si>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</si>
  <si>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</si>
  <si>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</si>
  <si>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</si>
  <si>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2026-07</t>
  </si>
  <si>
    <t xml:space="preserve">2026-06实际销量</t>
  </si>
  <si>
    <t xml:space="preserve">大盘月度趋势预测</t>
  </si>
  <si>
    <t xml:space="preserve">月份</t>
  </si>
  <si>
    <t xml:space="preserve">2024年大盘销量</t>
  </si>
  <si>
    <t xml:space="preserve">2025大盘销量</t>
  </si>
  <si>
    <t xml:space="preserve">2026大盘销量</t>
  </si>
  <si>
    <t xml:space="preserve">2025月度同比</t>
  </si>
  <si>
    <t xml:space="preserve">2026月度同比</t>
  </si>
  <si>
    <t xml:space="preserve">2027预测大盘增速</t>
  </si>
  <si>
    <t xml:space="preserve">2027预测大盘</t>
  </si>
  <si>
    <t xml:space="preserve">01月</t>
  </si>
  <si>
    <t xml:space="preserve">02月</t>
  </si>
  <si>
    <t xml:space="preserve">03月</t>
  </si>
  <si>
    <t xml:space="preserve">04月</t>
  </si>
  <si>
    <t xml:space="preserve">05月</t>
  </si>
  <si>
    <t xml:space="preserve">06月</t>
  </si>
  <si>
    <t xml:space="preserve">07月</t>
  </si>
  <si>
    <t xml:space="preserve">站点</t>
  </si>
  <si>
    <t xml:space="preserve">父ASIN</t>
  </si>
  <si>
    <t xml:space="preserve">父msku</t>
  </si>
  <si>
    <t xml:space="preserve">SPU</t>
  </si>
  <si>
    <t xml:space="preserve">核心对标竞品
(ASIN)</t>
  </si>
  <si>
    <t xml:space="preserve">备注</t>
  </si>
  <si>
    <t xml:space="preserve">US</t>
  </si>
  <si>
    <t xml:space="preserve">B0CSKDP26Z</t>
  </si>
  <si>
    <t xml:space="preserve">PDD25-A</t>
  </si>
  <si>
    <t xml:space="preserve">B0CC8M92B9</t>
  </si>
  <si>
    <t xml:space="preserve">B0BSKX7ZHN</t>
  </si>
  <si>
    <t xml:space="preserve">PPDD05</t>
  </si>
  <si>
    <t xml:space="preserve">B0C2YVV59F</t>
  </si>
  <si>
    <t xml:space="preserve">B0B2PCVNYJ</t>
  </si>
  <si>
    <t xml:space="preserve">PPDD03-new diamond</t>
  </si>
  <si>
    <t xml:space="preserve">B091YMYV7Q</t>
  </si>
  <si>
    <t xml:space="preserve">B0CCJ2MH3N</t>
  </si>
  <si>
    <t xml:space="preserve">PPD17</t>
  </si>
  <si>
    <t xml:space="preserve">B09YCTD74F</t>
  </si>
  <si>
    <t xml:space="preserve">B0D17P9F9S</t>
  </si>
  <si>
    <t xml:space="preserve">PPDD33</t>
  </si>
  <si>
    <t xml:space="preserve">PD33、PPDD33</t>
  </si>
  <si>
    <t xml:space="preserve">B0CMTKTYCQ</t>
  </si>
  <si>
    <t xml:space="preserve">B0D4PHQJYJ</t>
  </si>
  <si>
    <t xml:space="preserve">PD52</t>
  </si>
  <si>
    <t xml:space="preserve">B0FWJY4CCQ</t>
  </si>
  <si>
    <t xml:space="preserve">PD39-NEW</t>
  </si>
  <si>
    <t xml:space="preserve">PD39、PPDD39、PDM071</t>
  </si>
  <si>
    <t xml:space="preserve">B0DBPK9CTR</t>
  </si>
  <si>
    <t xml:space="preserve">XD03</t>
  </si>
  <si>
    <t xml:space="preserve">B0DP7BQ88V</t>
  </si>
  <si>
    <t xml:space="preserve">B0DBLYWHF4</t>
  </si>
  <si>
    <t xml:space="preserve">XD17</t>
  </si>
  <si>
    <t xml:space="preserve">B0DBPNHHVP</t>
  </si>
  <si>
    <t xml:space="preserve">CA</t>
  </si>
  <si>
    <t xml:space="preserve">B0CT5G5TVT</t>
  </si>
  <si>
    <t xml:space="preserve">CPPDD03-NEW</t>
  </si>
  <si>
    <t xml:space="preserve">B0DFM4LVRV</t>
  </si>
  <si>
    <t xml:space="preserve">B0D3J2Q1JM</t>
  </si>
  <si>
    <t xml:space="preserve">NEWCPD17</t>
  </si>
  <si>
    <t xml:space="preserve">B0BNDLPW1L</t>
  </si>
  <si>
    <t xml:space="preserve">B0D3TS4TYR</t>
  </si>
  <si>
    <t xml:space="preserve">CPD05-1</t>
  </si>
  <si>
    <t xml:space="preserve">B0CLNRF9P3</t>
  </si>
  <si>
    <t xml:space="preserve">B0DRFTHNM8</t>
  </si>
  <si>
    <t xml:space="preserve">CPDD25</t>
  </si>
  <si>
    <t xml:space="preserve">B0BNDD4CR4</t>
  </si>
  <si>
    <t xml:space="preserve">站点</t>
  </si>
  <si>
    <t xml:space="preserve">父ASIN</t>
  </si>
  <si>
    <t xml:space="preserve">月度增长速率</t>
  </si>
  <si>
    <t xml:space="preserve">2026年</t>
  </si>
  <si>
    <t xml:space="preserve">月度销量占比</t>
  </si>
  <si>
    <t xml:space="preserve">2024年</t>
  </si>
  <si>
    <t xml:space="preserve">2025年</t>
  </si>
  <si>
    <t xml:space="preserve">2027年(大盘年度增幅)</t>
  </si>
  <si>
    <t xml:space="preserve">2027年(大盘月度增幅)</t>
  </si>
  <si>
    <t xml:space="preserve">2027年(自身修正占比)</t>
  </si>
  <si>
    <t xml:space="preserve">1月</t>
  </si>
  <si>
    <t xml:space="preserve">2月</t>
  </si>
  <si>
    <t xml:space="preserve">3月</t>
  </si>
  <si>
    <t xml:space="preserve">4月</t>
  </si>
  <si>
    <t xml:space="preserve">5月</t>
  </si>
  <si>
    <t xml:space="preserve">6月</t>
  </si>
  <si>
    <t xml:space="preserve">7月</t>
  </si>
  <si>
    <t xml:space="preserve">8月</t>
  </si>
  <si>
    <t xml:space="preserve">9月</t>
  </si>
  <si>
    <t xml:space="preserve">10月</t>
  </si>
  <si>
    <t xml:space="preserve">11月</t>
  </si>
  <si>
    <t xml:space="preserve">12月</t>
  </si>
  <si>
    <t xml:space="preserve">6月加权销量</t>
  </si>
  <si>
    <t xml:space="preserve">6月实际销量</t>
  </si>
  <si>
    <t xml:space="preserve">25年合计</t>
  </si>
  <si>
    <t xml:space="preserve">月均值</t>
  </si>
  <si>
    <t xml:space="preserve">26年合计</t>
  </si>
  <si>
    <t xml:space="preserve">美国</t>
  </si>
  <si>
    <t xml:space="preserve">年度大盘趋势</t>
  </si>
  <si>
    <t xml:space="preserve">大盘月度趋势预测</t>
  </si>
  <si>
    <t xml:space="preserve">类目名称</t>
  </si>
  <si>
    <t xml:space="preserve">数据年份</t>
  </si>
  <si>
    <t xml:space="preserve">类目总销量</t>
  </si>
  <si>
    <t xml:space="preserve">同比增速</t>
  </si>
  <si>
    <t xml:space="preserve">数据来源</t>
  </si>
  <si>
    <t xml:space="preserve">月份</t>
  </si>
  <si>
    <t xml:space="preserve">2025大盘销量</t>
  </si>
  <si>
    <t xml:space="preserve">2026大盘销量</t>
  </si>
  <si>
    <t xml:space="preserve">2026月度同比</t>
  </si>
  <si>
    <t xml:space="preserve">2027预测大盘</t>
  </si>
  <si>
    <t xml:space="preserve">Outdoor Rugs</t>
  </si>
  <si>
    <t xml:space="preserve">2024年</t>
  </si>
  <si>
    <t xml:space="preserve">/</t>
  </si>
  <si>
    <t xml:space="preserve">BI看板-亚马逊后台</t>
  </si>
  <si>
    <t xml:space="preserve">01月</t>
  </si>
  <si>
    <t xml:space="preserve">2025年</t>
  </si>
  <si>
    <t xml:space="preserve">02月</t>
  </si>
  <si>
    <t xml:space="preserve">2026年（1月-6月）</t>
  </si>
  <si>
    <t xml:space="preserve">03月</t>
  </si>
  <si>
    <t xml:space="preserve">04月</t>
  </si>
  <si>
    <t xml:space="preserve">05月</t>
  </si>
  <si>
    <t xml:space="preserve">06月</t>
  </si>
  <si>
    <t xml:space="preserve">月度大盘趋势</t>
  </si>
  <si>
    <t xml:space="preserve">年份</t>
  </si>
  <si>
    <t xml:space="preserve">1月</t>
  </si>
  <si>
    <t xml:space="preserve">2月</t>
  </si>
  <si>
    <t xml:space="preserve">3月</t>
  </si>
  <si>
    <t xml:space="preserve">4月</t>
  </si>
  <si>
    <t xml:space="preserve">5月</t>
  </si>
  <si>
    <t xml:space="preserve">6月</t>
  </si>
  <si>
    <t xml:space="preserve">7月</t>
  </si>
  <si>
    <t xml:space="preserve">8月</t>
  </si>
  <si>
    <t xml:space="preserve">9月</t>
  </si>
  <si>
    <t xml:space="preserve">10月</t>
  </si>
  <si>
    <t xml:space="preserve">11月</t>
  </si>
  <si>
    <t xml:space="preserve">12月</t>
  </si>
  <si>
    <t xml:space="preserve">2023年</t>
  </si>
  <si>
    <t xml:space="preserve">2026年</t>
  </si>
  <si>
    <t xml:space="preserve">加拿大</t>
  </si>
  <si>
    <t xml:space="preserve">BI看板-卖家精灵数据</t>
  </si>
  <si>
    <t xml:space="preserve">BI看板-卖家精灵</t>
  </si>
  <si>
    <t xml:space="preserve">父ASIN
(我司)</t>
  </si>
  <si>
    <t xml:space="preserve">竞品ASIN</t>
  </si>
  <si>
    <t xml:space="preserve">竞品销量</t>
  </si>
  <si>
    <t xml:space="preserve">25年合计</t>
  </si>
  <si>
    <t xml:space="preserve">26年合计（1月-6月）</t>
  </si>
  <si>
    <t xml:space="preserve">2026-06</t>
  </si>
  <si>
    <t xml:space="preserve">2026-05</t>
  </si>
  <si>
    <t xml:space="preserve">2026-04</t>
  </si>
  <si>
    <t xml:space="preserve">2026-03</t>
  </si>
  <si>
    <t xml:space="preserve">2026-02</t>
  </si>
  <si>
    <t xml:space="preserve">2026-01</t>
  </si>
  <si>
    <t xml:space="preserve">2025-12</t>
  </si>
  <si>
    <t xml:space="preserve">2025-11</t>
  </si>
  <si>
    <t xml:space="preserve">2025-10</t>
  </si>
  <si>
    <t xml:space="preserve">2025-09</t>
  </si>
  <si>
    <t xml:space="preserve">2025-08</t>
  </si>
  <si>
    <t xml:space="preserve">2025-07</t>
  </si>
  <si>
    <t xml:space="preserve">2025-06</t>
  </si>
  <si>
    <t xml:space="preserve">2025-05</t>
  </si>
  <si>
    <t xml:space="preserve">2025-04</t>
  </si>
  <si>
    <t xml:space="preserve">2025-03</t>
  </si>
  <si>
    <t xml:space="preserve">2025-02</t>
  </si>
  <si>
    <t xml:space="preserve">2025-01</t>
  </si>
  <si>
    <t xml:space="preserve">B0CSKDP26Z</t>
  </si>
  <si>
    <t xml:space="preserve">B0BSKX7ZHN</t>
  </si>
  <si>
    <t xml:space="preserve">B0B2PCVNYJ</t>
  </si>
  <si>
    <t xml:space="preserve">B0CCJ2MH3N</t>
  </si>
  <si>
    <t xml:space="preserve">B0D17P9F9S</t>
  </si>
  <si>
    <t xml:space="preserve">B0D4PHQJYJ</t>
  </si>
  <si>
    <t xml:space="preserve">B0FWJY4CCQ</t>
  </si>
  <si>
    <t xml:space="preserve"> </t>
  </si>
  <si>
    <t xml:space="preserve">B0DBPK9CTR</t>
  </si>
  <si>
    <t xml:space="preserve">B0DBLYWHF4</t>
  </si>
  <si>
    <t xml:space="preserve">B0CT5G5TVT</t>
  </si>
  <si>
    <t xml:space="preserve">B0D3J2Q1JM</t>
  </si>
  <si>
    <t xml:space="preserve">B0D3TS4TYR</t>
  </si>
  <si>
    <t xml:space="preserve">B0DRFTHNM8</t>
  </si>
  <si>
    <t xml:space="preserve">组别</t>
  </si>
  <si>
    <t xml:space="preserve">求和项:202412</t>
  </si>
  <si>
    <t xml:space="preserve">1-5</t>
  </si>
  <si>
    <t xml:space="preserve">6-10</t>
  </si>
  <si>
    <t xml:space="preserve">11-15</t>
  </si>
  <si>
    <t xml:space="preserve">16-20</t>
  </si>
  <si>
    <t xml:space="preserve">21 - 25</t>
  </si>
  <si>
    <t xml:space="preserve">26 - 30</t>
  </si>
  <si>
    <t xml:space="preserve">31 - 35</t>
  </si>
  <si>
    <t xml:space="preserve">36 - 40</t>
  </si>
  <si>
    <t xml:space="preserve">41 - 45</t>
  </si>
  <si>
    <t xml:space="preserve">46 - 50</t>
  </si>
  <si>
    <t xml:space="preserve">51 - 80</t>
  </si>
  <si>
    <t xml:space="preserve">排名（销量）</t>
  </si>
  <si>
    <t xml:space="preserve">组别</t>
  </si>
  <si>
    <t xml:space="preserve">1-5</t>
  </si>
  <si>
    <t xml:space="preserve">6-10</t>
  </si>
  <si>
    <t xml:space="preserve">11-15</t>
  </si>
  <si>
    <t xml:space="preserve">16-20</t>
  </si>
  <si>
    <t xml:space="preserve">21 - 25</t>
  </si>
  <si>
    <t xml:space="preserve">26 - 30</t>
  </si>
  <si>
    <t xml:space="preserve">31 - 35</t>
  </si>
  <si>
    <t xml:space="preserve">36 - 40</t>
  </si>
  <si>
    <t xml:space="preserve">41 - 45</t>
  </si>
  <si>
    <t xml:space="preserve">46 - 50</t>
  </si>
  <si>
    <t xml:space="preserve">51 - 80</t>
  </si>
  <si>
    <t xml:space="preserve">站点</t>
  </si>
  <si>
    <t xml:space="preserve">年份</t>
  </si>
  <si>
    <t xml:space="preserve">1月</t>
  </si>
  <si>
    <t xml:space="preserve">2月</t>
  </si>
  <si>
    <t xml:space="preserve">3月</t>
  </si>
  <si>
    <t xml:space="preserve">4月</t>
  </si>
  <si>
    <t xml:space="preserve">5月</t>
  </si>
  <si>
    <t xml:space="preserve">6月</t>
  </si>
  <si>
    <t xml:space="preserve">7月</t>
  </si>
  <si>
    <t xml:space="preserve">8月</t>
  </si>
  <si>
    <t xml:space="preserve">9月</t>
  </si>
  <si>
    <t xml:space="preserve">10月</t>
  </si>
  <si>
    <t xml:space="preserve">11月</t>
  </si>
  <si>
    <t xml:space="preserve">12月</t>
  </si>
  <si>
    <t xml:space="preserve">总计</t>
  </si>
  <si>
    <t xml:space="preserve">增幅</t>
  </si>
  <si>
    <t xml:space="preserve">备注</t>
  </si>
  <si>
    <t xml:space="preserve">加拿大站</t>
  </si>
  <si>
    <t xml:space="preserve">7月-12月对比</t>
  </si>
  <si>
    <t xml:space="preserve">全年对比</t>
  </si>
  <si>
    <t xml:space="preserve">1月-6月对比</t>
  </si>
  <si>
    <t xml:space="preserve">美国站</t>
  </si>
  <si>
    <t xml:space="preserve">站点</t>
  </si>
  <si>
    <t xml:space="preserve">父asin</t>
  </si>
  <si>
    <t xml:space="preserve">父msku</t>
  </si>
  <si>
    <t xml:space="preserve">SPU</t>
  </si>
  <si>
    <t xml:space="preserve">对标竞品asin</t>
  </si>
  <si>
    <t xml:space="preserve">US</t>
  </si>
  <si>
    <t xml:space="preserve">B0CSKDP26Z</t>
  </si>
  <si>
    <t xml:space="preserve">PDD25-A</t>
  </si>
  <si>
    <t xml:space="preserve">B0CC8M92B9</t>
  </si>
  <si>
    <t xml:space="preserve">目标BSR</t>
  </si>
  <si>
    <t xml:space="preserve">16-20</t>
  </si>
  <si>
    <t xml:space="preserve">5-10</t>
  </si>
  <si>
    <t xml:space="preserve">B0BSKX7ZHN</t>
  </si>
  <si>
    <t xml:space="preserve">PPDD05</t>
  </si>
  <si>
    <t xml:space="preserve">B09VCKQDM8</t>
  </si>
  <si>
    <t xml:space="preserve">10-16</t>
  </si>
  <si>
    <t xml:space="preserve">B0B2PCVNYJ</t>
  </si>
  <si>
    <t xml:space="preserve">PPDD03-new diamond</t>
  </si>
  <si>
    <t xml:space="preserve">B091YMYV7Q</t>
  </si>
  <si>
    <t xml:space="preserve">B0CCJ2MH3N</t>
  </si>
  <si>
    <t xml:space="preserve">PPD17</t>
  </si>
  <si>
    <t xml:space="preserve">B09YCTD74F</t>
  </si>
  <si>
    <t xml:space="preserve">2-5</t>
  </si>
  <si>
    <t xml:space="preserve">1-2</t>
  </si>
  <si>
    <t xml:space="preserve">B0D17P9F9S</t>
  </si>
  <si>
    <t xml:space="preserve">PPDD33</t>
  </si>
  <si>
    <t xml:space="preserve">PD33、PPDD33</t>
  </si>
  <si>
    <t xml:space="preserve">B0CMTKTYCQ</t>
  </si>
  <si>
    <t xml:space="preserve">50-80</t>
  </si>
  <si>
    <t xml:space="preserve">B0D4PHQJYJ</t>
  </si>
  <si>
    <t xml:space="preserve">PD52</t>
  </si>
  <si>
    <t xml:space="preserve">B0FWJY4CCQ</t>
  </si>
  <si>
    <t xml:space="preserve">PD39-NEW</t>
  </si>
  <si>
    <t xml:space="preserve">PD39、PPDD39、PDM071</t>
  </si>
  <si>
    <t xml:space="preserve">B0DBPK9CTR</t>
  </si>
  <si>
    <t xml:space="preserve">XD03</t>
  </si>
  <si>
    <t xml:space="preserve">B0DP7BQ88V</t>
  </si>
  <si>
    <t xml:space="preserve">B0DBLYWHF4</t>
  </si>
  <si>
    <t xml:space="preserve">XD17</t>
  </si>
  <si>
    <t xml:space="preserve">B0DBPNHHVP</t>
  </si>
  <si>
    <t xml:space="preserve">CA</t>
  </si>
  <si>
    <t xml:space="preserve">B0CT5G5TVT</t>
  </si>
  <si>
    <t xml:space="preserve">CPPDD03-NEW</t>
  </si>
  <si>
    <t xml:space="preserve">B0DFM4LVRV</t>
  </si>
  <si>
    <t xml:space="preserve">B0D3J2Q1JM</t>
  </si>
  <si>
    <t xml:space="preserve">NEWCPD17</t>
  </si>
  <si>
    <t xml:space="preserve">B0BNDLPW1L</t>
  </si>
  <si>
    <t xml:space="preserve">1-5</t>
  </si>
  <si>
    <t xml:space="preserve">B0D3TS4TYR</t>
  </si>
  <si>
    <t xml:space="preserve">CPD05-1</t>
  </si>
  <si>
    <t xml:space="preserve">B0CLNRF9P3</t>
  </si>
  <si>
    <t xml:space="preserve">B0DRFTHNM8</t>
  </si>
  <si>
    <t xml:space="preserve">CPDD25</t>
  </si>
  <si>
    <t xml:space="preserve">B0BNDD4CR4</t>
  </si>
  <si>
    <t xml:space="preserve">站点</t>
  </si>
  <si>
    <t xml:space="preserve">类目</t>
  </si>
  <si>
    <t xml:space="preserve">年份</t>
  </si>
  <si>
    <t xml:space="preserve">月份</t>
  </si>
  <si>
    <t xml:space="preserve">销量</t>
  </si>
  <si>
    <t xml:space="preserve">美国站</t>
  </si>
  <si>
    <t xml:space="preserve">Outdoor Rugs</t>
  </si>
  <si>
    <t xml:space="preserve">1月</t>
  </si>
  <si>
    <t xml:space="preserve">2月</t>
  </si>
  <si>
    <t xml:space="preserve">3月</t>
  </si>
  <si>
    <t xml:space="preserve">4月</t>
  </si>
  <si>
    <t xml:space="preserve">5月</t>
  </si>
  <si>
    <t xml:space="preserve">6月</t>
  </si>
  <si>
    <t xml:space="preserve">7月</t>
  </si>
  <si>
    <t xml:space="preserve">8月</t>
  </si>
  <si>
    <t xml:space="preserve">9月</t>
  </si>
  <si>
    <t xml:space="preserve">10月</t>
  </si>
  <si>
    <t xml:space="preserve">11月</t>
  </si>
  <si>
    <t xml:space="preserve">12月</t>
  </si>
  <si>
    <t xml:space="preserve">部门</t>
  </si>
  <si>
    <t xml:space="preserve">平台</t>
  </si>
  <si>
    <t xml:space="preserve">店铺名称</t>
  </si>
  <si>
    <t xml:space="preserve">市场</t>
  </si>
  <si>
    <t xml:space="preserve">品类</t>
  </si>
  <si>
    <t xml:space="preserve">产品链接</t>
  </si>
  <si>
    <t xml:space="preserve">父ASIN</t>
  </si>
  <si>
    <t xml:space="preserve">包含的SPU</t>
  </si>
  <si>
    <t xml:space="preserve">TOP定位</t>
  </si>
  <si>
    <t xml:space="preserve">对标竞品链接</t>
  </si>
  <si>
    <t xml:space="preserve">负责人</t>
  </si>
  <si>
    <t xml:space="preserve">定目标逻辑</t>
  </si>
  <si>
    <t xml:space="preserve">项目</t>
  </si>
  <si>
    <t xml:space="preserve">2025年</t>
  </si>
  <si>
    <t xml:space="preserve">增幅</t>
  </si>
  <si>
    <t xml:space="preserve">2026年</t>
  </si>
  <si>
    <t xml:space="preserve">1月实际达成</t>
  </si>
  <si>
    <t xml:space="preserve">2月实际达成</t>
  </si>
  <si>
    <t xml:space="preserve">3月实际达成</t>
  </si>
  <si>
    <t xml:space="preserve">4月实际达成</t>
  </si>
  <si>
    <t xml:space="preserve">5月实际达成</t>
  </si>
  <si>
    <t xml:space="preserve">6月实际达成</t>
  </si>
  <si>
    <t xml:space="preserve">7月实际达成</t>
  </si>
  <si>
    <t xml:space="preserve">7月</t>
  </si>
  <si>
    <t xml:space="preserve">8月</t>
  </si>
  <si>
    <t xml:space="preserve">9月</t>
  </si>
  <si>
    <t xml:space="preserve">10月</t>
  </si>
  <si>
    <t xml:space="preserve">11月</t>
  </si>
  <si>
    <t xml:space="preserve">12月</t>
  </si>
  <si>
    <t xml:space="preserve">2027.1月</t>
  </si>
  <si>
    <t xml:space="preserve">2027.2月</t>
  </si>
  <si>
    <t xml:space="preserve">2027.3月</t>
  </si>
  <si>
    <t xml:space="preserve">核心运营策略</t>
  </si>
  <si>
    <t xml:space="preserve">运营三部</t>
  </si>
  <si>
    <t xml:space="preserve">亚马逊</t>
  </si>
  <si>
    <t xml:space="preserve">亚马逊-北蓉-US</t>
  </si>
  <si>
    <t xml:space="preserve">美国</t>
  </si>
  <si>
    <t xml:space="preserve">Outdoor Rugs</t>
  </si>
  <si>
    <t xml:space="preserve">PD03</t>
  </si>
  <si>
    <t xml:space="preserve">B0B2PCVNYJ</t>
  </si>
  <si>
    <t xml:space="preserve">PD03
PDM066
PDM064
PD59
PDM077
PDM080
PDM081</t>
  </si>
  <si>
    <t/>
    <r>
      <rPr>
        <b val="false"/>
        <i val="false"/>
        <strike val="false"/>
        <u val="single"/>
        <sz val="10"/>
        <color theme="10"/>
        <rFont val="宋体"/>
      </rPr>
      <t>https://www.amazon.com/SAND-MINE-Reversible-Outdoors-Backyard/dp/B091YMYV7Q/ref=zg_bs_g_16509767011_d_sccl_4/139-0019634-8191247?th=1</t>
    </r>
  </si>
  <si>
    <t xml:space="preserve">兰雅</t>
  </si>
  <si>
    <t xml:space="preserve">跑赢自己</t>
  </si>
  <si>
    <t xml:space="preserve">目标销售数量</t>
  </si>
  <si>
    <t xml:space="preserve">PD17</t>
  </si>
  <si>
    <t xml:space="preserve">B0CCJ2MH3N</t>
  </si>
  <si>
    <t xml:space="preserve">PD17
PD54
PDN068
PDN067
PDF065
PDF078
PDF80</t>
  </si>
  <si>
    <t/>
    <r>
      <rPr>
        <b val="false"/>
        <i val="false"/>
        <strike val="false"/>
        <u val="single"/>
        <sz val="10"/>
        <color theme="10"/>
        <rFont val="宋体"/>
      </rPr>
      <t>https://www.amazon.com/Pauwer-Outdoor-Waterproof-Reversible-Backyard/dp/B0CPLVVC17/ref=zg_bs_g_16509767011_d_sccl_16/133-9854572-3617550?th=1</t>
    </r>
  </si>
  <si>
    <t xml:space="preserve">祝慧敏</t>
  </si>
  <si>
    <t xml:space="preserve">亚马逊-冬豚-US</t>
  </si>
  <si>
    <t xml:space="preserve">PD05</t>
  </si>
  <si>
    <t xml:space="preserve">B0BSKX7ZHN</t>
  </si>
  <si>
    <t xml:space="preserve">PD05
PDM73
PDM74</t>
  </si>
  <si>
    <t/>
    <r>
      <rPr>
        <b val="false"/>
        <i val="false"/>
        <strike val="false"/>
        <u val="single"/>
        <sz val="10"/>
        <color theme="10"/>
        <rFont val="宋体"/>
      </rPr>
      <t>https://www.amazon.com/HUGEAR-Plastic-Waterproof-Reversible-Entryance/dp/B0DJFP72J9/ref=sr_1_1?crid=34BA5B8QHXP10&amp;dib=eyJ2IjoiMSJ9.JasgdCx2M29KtVcYtUbghw.9r_ADXSRElNSpoVIWUpRcUeDOBlB-8607ZRKA1cXup8&amp;dib_tag=se&amp;keywords=B0DJFP72J9&amp;nsdOptOutParam=true&amp;qid=1763449161&amp;s=home-garden&amp;sprefix=%2Cgarden%2C817&amp;sr=1-1&amp;th=1</t>
    </r>
  </si>
  <si>
    <t xml:space="preserve">展帅</t>
  </si>
  <si>
    <t xml:space="preserve">PD25</t>
  </si>
  <si>
    <t xml:space="preserve">B0CSKDP26Z</t>
  </si>
  <si>
    <t xml:space="preserve">PD25
PDM072</t>
  </si>
  <si>
    <t/>
    <r>
      <rPr>
        <b val="false"/>
        <i val="false"/>
        <strike val="false"/>
        <u val="single"/>
        <sz val="10"/>
        <color theme="10"/>
        <rFont val="宋体"/>
      </rPr>
      <t>https://www.amazon.com/Outdoor-Clearance-Waterproof-Camping-Reversible/dp/B09PH7HRQG/ref=zg_bs_g_16509767011_d_sccl_18/141-5410386-7383464?th=1</t>
    </r>
  </si>
  <si>
    <t xml:space="preserve">陈家俊</t>
  </si>
  <si>
    <t xml:space="preserve">亚马逊-凯燕归-US</t>
  </si>
  <si>
    <t xml:space="preserve">XD03</t>
  </si>
  <si>
    <t xml:space="preserve">B0DBPK9CTR</t>
  </si>
  <si>
    <t/>
    <r>
      <rPr>
        <b val="false"/>
        <i val="false"/>
        <strike val="false"/>
        <u val="single"/>
        <sz val="10"/>
        <color theme="10"/>
        <rFont val="宋体"/>
      </rPr>
      <t>https://www.amazon.com/dp/B0DBLXTZ2H?th=1</t>
    </r>
  </si>
  <si>
    <t xml:space="preserve">程慧</t>
  </si>
  <si>
    <t xml:space="preserve">XD17</t>
  </si>
  <si>
    <t xml:space="preserve">B0DBLYWHF4</t>
  </si>
  <si>
    <t/>
    <r>
      <rPr>
        <b val="false"/>
        <i val="false"/>
        <strike val="false"/>
        <u val="single"/>
        <sz val="10"/>
        <color theme="10"/>
        <rFont val="宋体"/>
      </rPr>
      <t>https://www.amazon.com/OLANLY-Waterproof-Outdoor-Reversible-Backyard/dp/B0DCRKX4M2/ref=zg_bs_g_16509767011_d_sccl_94/133-9854572-3617550?th=1</t>
    </r>
  </si>
  <si>
    <t xml:space="preserve">谢琳莎</t>
  </si>
  <si>
    <t xml:space="preserve">PD33</t>
  </si>
  <si>
    <t xml:space="preserve">B0D17P9F9S</t>
  </si>
  <si>
    <t/>
    <r>
      <rPr>
        <b val="false"/>
        <i val="false"/>
        <strike val="false"/>
        <u val="single"/>
        <sz val="10"/>
        <color theme="10"/>
        <rFont val="宋体"/>
      </rPr>
      <t>https://www.amazon.com/WILDROOTS-Plastic-Resistant-Waterproof-Reversible/dp/B0DX1VMGNB/ref=zg_bs_g_16509767011_d_sccl_29/141-5410386-7383464?th=1</t>
    </r>
  </si>
  <si>
    <t xml:space="preserve">跑赢大盘</t>
  </si>
  <si>
    <t xml:space="preserve">PD52</t>
  </si>
  <si>
    <t xml:space="preserve">B0D4PHQJYJ</t>
  </si>
  <si>
    <t xml:space="preserve">PD52
PD47</t>
  </si>
  <si>
    <t/>
    <r>
      <rPr>
        <b val="false"/>
        <i val="false"/>
        <strike val="false"/>
        <u val="single"/>
        <sz val="10"/>
        <color theme="10"/>
        <rFont val="宋体"/>
      </rPr>
      <t>https://www.amazon.com/MontVoo-Rug-Waterproof-Reversible-Backyard-Farmhouse/dp/B0DHXDG87B/ref=zg_bs_g_16509767011_d_sccl_26/136-5722474-7668953?psc=1</t>
    </r>
  </si>
  <si>
    <t xml:space="preserve">PD39</t>
  </si>
  <si>
    <t xml:space="preserve">B0FWJY4CCQ</t>
  </si>
  <si>
    <t xml:space="preserve">PD39
PDM071</t>
  </si>
  <si>
    <t/>
    <r>
      <rPr>
        <b val="false"/>
        <i val="false"/>
        <strike val="false"/>
        <u val="single"/>
        <sz val="10"/>
        <color theme="10"/>
        <rFont val="宋体"/>
      </rPr>
      <t>https://www.amazon.com/MontVoo-Outdoor-Waterproof-Reversible-Beach-Boho/dp/B0CLP18RZQ/ref=zg_bs_g_16509767011_d_sccl_14/141-5410386-7383464?th=1</t>
    </r>
  </si>
  <si>
    <t xml:space="preserve">PDF075</t>
  </si>
  <si>
    <t xml:space="preserve">B0G57MLPKW</t>
  </si>
  <si>
    <t xml:space="preserve">PDF075
PDF076</t>
  </si>
  <si>
    <t/>
    <r>
      <rPr>
        <b val="false"/>
        <i val="false"/>
        <strike val="false"/>
        <u val="single"/>
        <sz val="10"/>
        <color theme="10"/>
        <rFont val="宋体"/>
      </rPr>
      <t>https://www.amazon.com/dp/B0DCRL8TGG?th=1</t>
    </r>
  </si>
  <si>
    <t xml:space="preserve">亚马逊-北蓉-CA</t>
  </si>
  <si>
    <t xml:space="preserve">加拿大</t>
  </si>
  <si>
    <t xml:space="preserve">CPD33</t>
  </si>
  <si>
    <t xml:space="preserve">B0G4QZGW8H</t>
  </si>
  <si>
    <t/>
    <r>
      <rPr>
        <b val="false"/>
        <i val="false"/>
        <strike val="false"/>
        <u val="single"/>
        <sz val="10"/>
        <color theme="10"/>
        <rFont val="宋体"/>
      </rPr>
      <t>https://www.amazon.ca/dp/B0DJ2Q4KTZ?th=1</t>
    </r>
  </si>
  <si>
    <t xml:space="preserve">CPD52</t>
  </si>
  <si>
    <t xml:space="preserve">B0G5XMQ3JY</t>
  </si>
  <si>
    <t xml:space="preserve">CPD52
CPD47</t>
  </si>
  <si>
    <t/>
    <r>
      <rPr>
        <b val="false"/>
        <i val="false"/>
        <strike val="false"/>
        <u val="single"/>
        <sz val="10"/>
        <color theme="10"/>
        <rFont val="宋体"/>
      </rPr>
      <t>https://www.amazon.ca/LOKHOM-Outdoor-Reversible-Plastic-Waterproof/dp/B0CNTDMVMD/ref=zg_bs_g_37288342011_d_sccl_49/135-3496690-1344336?th=1</t>
    </r>
  </si>
  <si>
    <t xml:space="preserve">CPD39</t>
  </si>
  <si>
    <t xml:space="preserve">B0G5TQY132</t>
  </si>
  <si>
    <t/>
    <r>
      <rPr>
        <b val="false"/>
        <i val="false"/>
        <strike val="false"/>
        <u val="single"/>
        <sz val="10"/>
        <color theme="10"/>
        <rFont val="宋体"/>
      </rPr>
      <t>https://www.amazon.ca/Outdoor-Fashion-Rugs-Modern-Reversible-Backyard/dp/B0CMTNR7WK/ref=zg_bs_g_37288342011_d_sccl_22/135-3496690-1344336?th=1</t>
    </r>
  </si>
  <si>
    <t xml:space="preserve">CPD03</t>
  </si>
  <si>
    <t xml:space="preserve">B0CT5G5TVT</t>
  </si>
  <si>
    <t/>
    <r>
      <rPr>
        <b val="false"/>
        <i val="false"/>
        <strike val="false"/>
        <u val="single"/>
        <sz val="10"/>
        <color theme="10"/>
        <rFont val="宋体"/>
      </rPr>
      <t>https://www.amazon.ca/dp/B0DN9XQZ2C?th=1</t>
    </r>
  </si>
  <si>
    <t xml:space="preserve">CPD17</t>
  </si>
  <si>
    <t xml:space="preserve">B0D3J2Q1JM</t>
  </si>
  <si>
    <t/>
    <r>
      <rPr>
        <b val="false"/>
        <i val="false"/>
        <strike val="false"/>
        <u val="single"/>
        <sz val="10"/>
        <color theme="10"/>
        <rFont val="宋体"/>
      </rPr>
      <t>https://www.amazon.ca/Cekene-Waterproof-Reversible-Lightweight-Portable/dp/B0DK2WH5N9/ref=zg_bs_g_37288342011_d_sccl_44/135-3496690-1344336?th=1</t>
    </r>
  </si>
  <si>
    <t xml:space="preserve">亚马逊-冬豚-CA</t>
  </si>
  <si>
    <t xml:space="preserve">CPD05</t>
  </si>
  <si>
    <t xml:space="preserve">B0D3TS4TYR</t>
  </si>
  <si>
    <t/>
    <r>
      <rPr>
        <b val="false"/>
        <i val="false"/>
        <strike val="false"/>
        <u val="single"/>
        <sz val="10"/>
        <color theme="10"/>
        <rFont val="宋体"/>
      </rPr>
      <t>https://www.amazon.ca/dp/B0CLNRF9P3?th=1</t>
    </r>
  </si>
  <si>
    <t xml:space="preserve">CPD25</t>
  </si>
  <si>
    <t xml:space="preserve">B0DRFTHNM8</t>
  </si>
  <si>
    <t/>
    <r>
      <rPr>
        <b val="false"/>
        <i val="false"/>
        <strike val="false"/>
        <u val="single"/>
        <sz val="10"/>
        <color theme="10"/>
        <rFont val="宋体"/>
      </rPr>
      <t>https://www.amazon.ca/TECHMILLY-Outdoor-Waterproof-Reversible-Portable/dp/B0D9PWS1GH/ref=zg_bs_g_37288342011_d_sccl_17/135-3496690-1344336?th=1</t>
    </r>
  </si>
  <si>
    <t xml:space="preserve">SMZ1005</t>
  </si>
  <si>
    <t xml:space="preserve">B0FY6755WX</t>
  </si>
  <si>
    <t xml:space="preserve">SMZ1005
SMZ2016</t>
  </si>
  <si>
    <t xml:space="preserve">陆彤彤</t>
  </si>
  <si>
    <t xml:space="preserve">SMZ009</t>
  </si>
  <si>
    <t xml:space="preserve">B0G5N8NLPJ</t>
  </si>
  <si>
    <t xml:space="preserve">SMZ009
SMZ012
ARF004
ARF005</t>
  </si>
  <si>
    <t xml:space="preserve">张海琴</t>
  </si>
  <si>
    <t xml:space="preserve">SMZ015</t>
  </si>
  <si>
    <t xml:space="preserve">B0FZRS1ZG3</t>
  </si>
  <si>
    <t xml:space="preserve">SMZ015
SMZ016
ARF003
ARF006
ARF015
ARF016</t>
  </si>
  <si>
    <t xml:space="preserve">ARP22</t>
  </si>
  <si>
    <t xml:space="preserve">B0G6D74HNR</t>
  </si>
  <si>
    <t xml:space="preserve">ARP22
ARP21</t>
  </si>
  <si>
    <t xml:space="preserve">SMZ1005-CA</t>
  </si>
  <si>
    <t/>
    <r>
      <rPr>
        <b val="false"/>
        <i val="false"/>
        <strike val="false"/>
        <sz val="10"/>
        <color rgb="FF000000"/>
        <rFont val="宋体"/>
      </rPr>
      <t xml:space="preserve">B0FPXB7JYX
</t>
    </r>
    <r>
      <rPr>
        <b val="true"/>
        <i val="false"/>
        <strike val="false"/>
        <sz val="10"/>
        <color rgb="FF000000"/>
        <rFont val="宋体"/>
      </rPr>
      <t>B0G8J89RCT</t>
    </r>
  </si>
  <si>
    <t xml:space="preserve">目标待定</t>
  </si>
  <si>
    <t xml:space="preserve">SMZ009-CA</t>
  </si>
  <si>
    <t xml:space="preserve">B0G8HHCDJX</t>
  </si>
  <si>
    <t xml:space="preserve">Kitchen rugs</t>
  </si>
  <si>
    <t xml:space="preserve">KR5006</t>
  </si>
  <si>
    <t xml:space="preserve">B0DGTQLDZR</t>
  </si>
  <si>
    <t xml:space="preserve">KR8201
KR5006
KR5001
KR5020
KR5102
KR5103</t>
  </si>
  <si>
    <t xml:space="preserve">刘佳琦</t>
  </si>
  <si>
    <t xml:space="preserve">KR011</t>
  </si>
  <si>
    <t xml:space="preserve">B0F993JPKP</t>
  </si>
  <si>
    <t/>
    <r>
      <rPr>
        <b val="false"/>
        <i val="false"/>
        <strike val="false"/>
        <u val="single"/>
        <sz val="10"/>
        <color theme="10"/>
        <rFont val="宋体"/>
      </rPr>
      <t>https://www.amazon.com/HEBE-Fatigue-Cushioned-Standing-Waterproof/dp/B08PVCD9NQ/ref=zg_bs_g_644050011_d_sccl_35/139-7976076-6503513?psc=1</t>
    </r>
  </si>
  <si>
    <t xml:space="preserve">跑赢竞品</t>
  </si>
  <si>
    <t xml:space="preserve">KR9779</t>
  </si>
  <si>
    <t xml:space="preserve">B0DW3VKDTW</t>
  </si>
  <si>
    <t xml:space="preserve">KR9779
KR9776
KR2024</t>
  </si>
  <si>
    <t xml:space="preserve">KR1002</t>
  </si>
  <si>
    <t xml:space="preserve">B0DGTF5FQ8</t>
  </si>
  <si>
    <t xml:space="preserve">KR1002
KRM017
KR1007
KR1006
KR2026（6月之后）
KR002（6月之后）</t>
  </si>
  <si>
    <t xml:space="preserve">郝婷婷</t>
  </si>
  <si>
    <t xml:space="preserve">CKR1002</t>
  </si>
  <si>
    <t xml:space="preserve">B0DW77DRCZ</t>
  </si>
  <si>
    <t xml:space="preserve">CKR1002
CKR002
CKR2026
CKR9779</t>
  </si>
  <si>
    <t xml:space="preserve">KR2026</t>
  </si>
  <si>
    <t xml:space="preserve">KR2026
KR002</t>
  </si>
  <si>
    <t xml:space="preserve">清仓，后续合并KR1002</t>
  </si>
  <si>
    <t xml:space="preserve">KR020</t>
  </si>
  <si>
    <t xml:space="preserve">B0G4R6MB7N
仿麻几何</t>
  </si>
  <si>
    <t xml:space="preserve">KR020
KR021
KR022</t>
  </si>
  <si>
    <t xml:space="preserve">KRM001</t>
  </si>
  <si>
    <t xml:space="preserve">B0GCLN538V</t>
  </si>
  <si>
    <t xml:space="preserve">KRM001
KRM002
KRM003</t>
  </si>
  <si>
    <t xml:space="preserve">KR1002-YHS</t>
  </si>
  <si>
    <t xml:space="preserve">B0GFKYL52H</t>
  </si>
  <si>
    <t xml:space="preserve">KR1002
KR2026
KR002
KR8303
KR8686</t>
  </si>
  <si>
    <t xml:space="preserve">KR5101</t>
  </si>
  <si>
    <t xml:space="preserve">赵美芳</t>
  </si>
  <si>
    <t xml:space="preserve">仿麻户外地垫</t>
  </si>
  <si>
    <t xml:space="preserve">B0GJBDVS12</t>
  </si>
  <si>
    <t xml:space="preserve">ARM004</t>
  </si>
  <si>
    <t xml:space="preserve">ARB003</t>
  </si>
  <si>
    <t xml:space="preserve">B0GQKJGK4J</t>
  </si>
  <si>
    <t xml:space="preserve">ARB003
ARB004
ARM027
ARM028
ARA026</t>
  </si>
  <si>
    <t xml:space="preserve">2026年
pp管
圣诞链接（PD63)</t>
  </si>
  <si>
    <t xml:space="preserve">新品未上架</t>
  </si>
  <si>
    <t xml:space="preserve">PD63
PDM82
PDC085
PDC086</t>
  </si>
  <si>
    <t xml:space="preserve">2027年
PP管
链接1</t>
  </si>
  <si>
    <t xml:space="preserve">2027年
PP管
链接2</t>
  </si>
  <si>
    <t xml:space="preserve">2026年
三明治
链接1</t>
  </si>
  <si>
    <t xml:space="preserve">2026年
三明治
链接2</t>
  </si>
  <si>
    <t xml:space="preserve">2026年
三明治
圣诞链接</t>
  </si>
  <si>
    <t xml:space="preserve">2027年
三明治
链接1</t>
  </si>
  <si>
    <t xml:space="preserve">2026年
新材质
链接1</t>
  </si>
  <si>
    <t xml:space="preserve">2026年
PVC/仿羊绒
链接1</t>
  </si>
  <si>
    <t xml:space="preserve">2026年
PVC/仿羊绒
链接2</t>
  </si>
  <si>
    <t xml:space="preserve">2026年
仿麻/新材质
链接1</t>
  </si>
  <si>
    <t xml:space="preserve">2027年
仿羊绒/仿麻/新材质
链接1</t>
  </si>
  <si>
    <t xml:space="preserve">2026年圣诞链接</t>
  </si>
  <si>
    <t xml:space="preserve">KR9509</t>
  </si>
  <si>
    <t xml:space="preserve">KR9509
KR006
KR014
KR013
KR008
KR009
KR021
KR9608
KR9510</t>
  </si>
  <si>
    <t xml:space="preserve">KR007</t>
  </si>
  <si>
    <t xml:space="preserve">KR007
KR037
KR048
KR024
KR023
KR015
KR017
KR022
KR1751</t>
  </si>
  <si>
    <t xml:space="preserve">SMZ5001</t>
  </si>
  <si>
    <t xml:space="preserve">B0GYP5BC6G</t>
  </si>
  <si>
    <t xml:space="preserve">SMZ5001
SMZ5014
SMZ5003
SMZ5020
SMZ001</t>
  </si>
  <si>
    <t xml:space="preserve">TOP 50</t>
  </si>
  <si>
    <t xml:space="preserve">SMZ8686</t>
  </si>
  <si>
    <t xml:space="preserve">SMZ8303</t>
  </si>
  <si>
    <t xml:space="preserve">B0GYPFW6XX</t>
  </si>
  <si>
    <t xml:space="preserve">SMZ8303
SMZ9509
SMZ9510</t>
  </si>
  <si>
    <t xml:space="preserve">SMZ2029</t>
  </si>
  <si>
    <t xml:space="preserve">KR8686</t>
  </si>
  <si>
    <t xml:space="preserve">B0H3TRLP3N</t>
  </si>
  <si>
    <t xml:space="preserve">序号</t>
  </si>
  <si>
    <t xml:space="preserve">小组</t>
  </si>
  <si>
    <t xml:space="preserve">平台</t>
  </si>
  <si>
    <t xml:space="preserve">店铺</t>
  </si>
  <si>
    <t xml:space="preserve">品类</t>
  </si>
  <si>
    <t xml:space="preserve">链接</t>
  </si>
  <si>
    <t xml:space="preserve">父ASIN</t>
  </si>
  <si>
    <t xml:space="preserve">负责人</t>
  </si>
  <si>
    <t xml:space="preserve">项目</t>
  </si>
  <si>
    <t xml:space="preserve">11月</t>
  </si>
  <si>
    <t xml:space="preserve">12月</t>
  </si>
  <si>
    <t xml:space="preserve">1月</t>
  </si>
  <si>
    <t xml:space="preserve">2月</t>
  </si>
  <si>
    <t xml:space="preserve">3月</t>
  </si>
  <si>
    <t xml:space="preserve">4月</t>
  </si>
  <si>
    <t xml:space="preserve">5月</t>
  </si>
  <si>
    <t xml:space="preserve">6月</t>
  </si>
  <si>
    <t xml:space="preserve">7月</t>
  </si>
  <si>
    <t xml:space="preserve">8月</t>
  </si>
  <si>
    <t xml:space="preserve">9月</t>
  </si>
  <si>
    <t xml:space="preserve">10月</t>
  </si>
  <si>
    <t xml:space="preserve">合计</t>
  </si>
  <si>
    <t xml:space="preserve">备注</t>
  </si>
  <si>
    <t xml:space="preserve">运营三部</t>
  </si>
  <si>
    <t xml:space="preserve">AMZ</t>
  </si>
  <si>
    <t xml:space="preserve">北蓉-US</t>
  </si>
  <si>
    <t xml:space="preserve">地垫</t>
  </si>
  <si>
    <t xml:space="preserve">PD03</t>
  </si>
  <si>
    <t xml:space="preserve">B0B2PCVNYJ</t>
  </si>
  <si>
    <t xml:space="preserve">郝婷婷</t>
  </si>
  <si>
    <t xml:space="preserve">实际销量</t>
  </si>
  <si>
    <t xml:space="preserve">PD17</t>
  </si>
  <si>
    <t xml:space="preserve">B0CCJ2MH3N</t>
  </si>
  <si>
    <t xml:space="preserve">卢意龙</t>
  </si>
  <si>
    <t xml:space="preserve">冬豚-US</t>
  </si>
  <si>
    <t xml:space="preserve">PD05</t>
  </si>
  <si>
    <t xml:space="preserve">B0BSKX7ZHN</t>
  </si>
  <si>
    <t xml:space="preserve">吴海涛</t>
  </si>
  <si>
    <t xml:space="preserve">PD25</t>
  </si>
  <si>
    <t xml:space="preserve">B0CSKDP26Z</t>
  </si>
  <si>
    <t xml:space="preserve">汪建峰</t>
  </si>
  <si>
    <t xml:space="preserve">凯燕归-US</t>
  </si>
  <si>
    <t xml:space="preserve">XD17</t>
  </si>
  <si>
    <t xml:space="preserve">B0DBLYWHF4</t>
  </si>
  <si>
    <t xml:space="preserve">周钦宇</t>
  </si>
  <si>
    <t xml:space="preserve">PD33</t>
  </si>
  <si>
    <t xml:space="preserve">B0D17P9F9S</t>
  </si>
  <si>
    <t xml:space="preserve">PD56&amp;58&amp;59</t>
  </si>
  <si>
    <t xml:space="preserve">PD47&amp;52</t>
  </si>
  <si>
    <t xml:space="preserve">B0D4PHQJYJ</t>
  </si>
  <si>
    <t xml:space="preserve">B0FWJY4CCQ</t>
  </si>
  <si>
    <t xml:space="preserve">PD39</t>
  </si>
  <si>
    <t xml:space="preserve">B0DHV6X5DJ</t>
  </si>
  <si>
    <t xml:space="preserve">PD42&amp;53（清仓）</t>
  </si>
  <si>
    <t xml:space="preserve">B0DHVPWBT9</t>
  </si>
  <si>
    <t xml:space="preserve">PD55</t>
  </si>
  <si>
    <t xml:space="preserve">PD63</t>
  </si>
  <si>
    <t xml:space="preserve">北蓉-CA</t>
  </si>
  <si>
    <t xml:space="preserve">CPD03</t>
  </si>
  <si>
    <t xml:space="preserve">B0CT5G5TVT</t>
  </si>
  <si>
    <t xml:space="preserve">CPD17</t>
  </si>
  <si>
    <t xml:space="preserve">B0D3J2Q1JM</t>
  </si>
  <si>
    <t xml:space="preserve">冬豚-CA</t>
  </si>
  <si>
    <t xml:space="preserve">CPD05</t>
  </si>
  <si>
    <t xml:space="preserve">B0D3TS4TYR</t>
  </si>
  <si>
    <t xml:space="preserve">CPD25</t>
  </si>
  <si>
    <t xml:space="preserve">B0DRFTHNM8</t>
  </si>
  <si>
    <t xml:space="preserve">SMZ002&amp;003（清仓）</t>
  </si>
  <si>
    <t xml:space="preserve">B0DPMCBTB1</t>
  </si>
  <si>
    <t xml:space="preserve">陆彤彤</t>
  </si>
  <si>
    <t xml:space="preserve">SMZ001&amp;005&amp;004（清仓）</t>
  </si>
  <si>
    <t xml:space="preserve">B0DPLXL7K7</t>
  </si>
  <si>
    <t xml:space="preserve">SMZ015&amp;016&amp;006&amp;008</t>
  </si>
  <si>
    <t xml:space="preserve">B0DPN31J9X</t>
  </si>
  <si>
    <t xml:space="preserve">SMZ009&amp;012&amp;007</t>
  </si>
  <si>
    <t xml:space="preserve">B0DPPHZX2K</t>
  </si>
  <si>
    <t xml:space="preserve">SMZ017&amp;018（清仓）</t>
  </si>
  <si>
    <t xml:space="preserve">B0DPN45NRZ</t>
  </si>
  <si>
    <t xml:space="preserve">SMZ001&amp;SMZ1005</t>
  </si>
  <si>
    <t xml:space="preserve">SMZ009&amp;0007</t>
  </si>
  <si>
    <t xml:space="preserve">B0DBPK9CTR</t>
  </si>
  <si>
    <t xml:space="preserve">XD03</t>
  </si>
  <si>
    <t xml:space="preserve">24年增幅</t>
  </si>
  <si>
    <t xml:space="preserve">25年增幅</t>
  </si>
  <si>
    <t xml:space="preserve">26年增幅</t>
  </si>
  <si>
    <t xml:space="preserve">组别</t>
  </si>
  <si>
    <t xml:space="preserve">23年H1</t>
  </si>
  <si>
    <t xml:space="preserve">24年H1</t>
  </si>
  <si>
    <t xml:space="preserve">25年H1</t>
  </si>
  <si>
    <t xml:space="preserve">26年H1</t>
  </si>
  <si>
    <t xml:space="preserve">排名（销量）</t>
  </si>
  <si>
    <t xml:space="preserve">1-10</t>
  </si>
  <si>
    <t xml:space="preserve">2-5</t>
  </si>
  <si>
    <t xml:space="preserve">6-10</t>
  </si>
  <si>
    <t xml:space="preserve">11-15</t>
  </si>
  <si>
    <t xml:space="preserve">11-20</t>
  </si>
  <si>
    <t xml:space="preserve">16-20</t>
  </si>
  <si>
    <t xml:space="preserve">21 - 30</t>
  </si>
  <si>
    <t xml:space="preserve">31 - 40</t>
  </si>
  <si>
    <t xml:space="preserve">41 - 50</t>
  </si>
  <si>
    <t xml:space="preserve">46 - 50</t>
  </si>
  <si>
    <t xml:space="preserve">51 - 60</t>
  </si>
  <si>
    <t xml:space="preserve">51 - 80</t>
  </si>
  <si>
    <t xml:space="preserve">61 - 70</t>
  </si>
  <si>
    <t xml:space="preserve">71 - 80</t>
  </si>
  <si>
    <t xml:space="preserve">81 - 90</t>
  </si>
  <si>
    <t xml:space="preserve">91 - 100</t>
  </si>
  <si>
    <t xml:space="preserve">25年增幅</t>
  </si>
  <si>
    <t xml:space="preserve">26年增幅</t>
  </si>
  <si>
    <t xml:space="preserve">组别</t>
  </si>
  <si>
    <t xml:space="preserve">24年H1</t>
  </si>
  <si>
    <t xml:space="preserve">25年H1</t>
  </si>
  <si>
    <t xml:space="preserve">26年H1</t>
  </si>
  <si>
    <t xml:space="preserve">排名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</si>
  <si>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</si>
  <si>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</si>
  <si>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</si>
  <si>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</si>
  <si>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</si>
  <si>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</si>
  <si>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</si>
  <si>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</si>
  <si>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</si>
  <si>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</si>
  <si>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</si>
  <si>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</si>
  <si>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</si>
  <si>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</si>
  <si>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</si>
  <si>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</si>
  <si>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</si>
  <si>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</si>
  <si>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</si>
  <si>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</si>
  <si>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</si>
  <si>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</si>
  <si>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</si>
  <si>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</si>
  <si>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</si>
  <si>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</si>
  <si>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</si>
  <si>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</si>
  <si>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</si>
  <si>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</si>
  <si>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</si>
  <si>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总计</t>
  </si>
  <si>
    <t xml:space="preserve">2-5</t>
  </si>
  <si>
    <t xml:space="preserve">6-10</t>
  </si>
  <si>
    <t xml:space="preserve">11-15</t>
  </si>
  <si>
    <t xml:space="preserve">16-20</t>
  </si>
  <si>
    <t xml:space="preserve">46 - 50</t>
  </si>
  <si>
    <t xml:space="preserve">51 - 80</t>
  </si>
  <si>
    <t xml:space="preserve">6月含PD销量</t>
  </si>
  <si>
    <t xml:space="preserve">6月PD销量</t>
  </si>
  <si>
    <t xml:space="preserve">6月实际销量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</si>
</sst>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7">
    <numFmt numFmtId="164" formatCode="0.0%"/>
    <numFmt numFmtId="165" formatCode="yyyy&quot;年&quot;m&quot;月&quot;"/>
    <numFmt numFmtId="166" formatCode="0%"/>
    <numFmt numFmtId="167" formatCode="0.00%"/>
    <numFmt numFmtId="168" formatCode="#,##0"/>
    <numFmt numFmtId="169" formatCode="_ * #,##0_ ;_ * \-#,##0_ ;_ * &quot;-&quot;??_ ;_ @_ "/>
    <numFmt numFmtId="170" formatCode="General"/>
    <numFmt numFmtId="171" formatCode="@"/>
    <numFmt numFmtId="172" formatCode="yyyy年m月"/>
    <numFmt numFmtId="173" formatCode="0%"/>
    <numFmt numFmtId="174" formatCode="_ * #,##0_ ;_ * \-#,##0_ ;_ * &quot;-&quot;??_ ;_ @_ "/>
    <numFmt numFmtId="175" formatCode="#,##0"/>
    <numFmt numFmtId="176" formatCode="#,##0.0"/>
    <numFmt numFmtId="177" formatCode="_ * #,##0_ ;_ * \-#,##0_ ;_ * &quot;-&quot;??_ ;_ @_ "/>
    <numFmt numFmtId="178" formatCode="0.0%"/>
    <numFmt numFmtId="179" formatCode="#,##0"/>
    <numFmt numFmtId="180" formatCode="0%"/>
    <numFmt numFmtId="181" formatCode="@"/>
    <numFmt numFmtId="182" formatCode="#,##0_ "/>
    <numFmt numFmtId="183" formatCode="0%"/>
    <numFmt numFmtId="184" formatCode="#,##0"/>
    <numFmt numFmtId="185" formatCode="@"/>
    <numFmt numFmtId="186" formatCode="#,##0"/>
    <numFmt numFmtId="187" formatCode="0.000%"/>
    <numFmt numFmtId="188" formatCode="yyyy&quot;年&quot;m&quot;月&quot;"/>
    <numFmt numFmtId="189" formatCode="@"/>
    <numFmt numFmtId="190" formatCode="@"/>
    <numFmt numFmtId="191" formatCode="0_);\(0\)"/>
    <numFmt numFmtId="192" formatCode="0.0%"/>
    <numFmt numFmtId="193" formatCode="#,##0"/>
    <numFmt numFmtId="194" formatCode="0_ "/>
    <numFmt numFmtId="195" formatCode="0"/>
    <numFmt numFmtId="196" formatCode="0.00%"/>
    <numFmt numFmtId="197" formatCode="#,##0.00"/>
    <numFmt numFmtId="198" formatCode="0.00_);\(0.00\)"/>
    <numFmt numFmtId="199" formatCode="0%"/>
    <numFmt numFmtId="200" formatCode="0_);\(0\)"/>
    <numFmt numFmtId="201" formatCode="0"/>
    <numFmt numFmtId="202" formatCode="#,##0.00"/>
    <numFmt numFmtId="203" formatCode="yyyy&quot;年&quot;m&quot;月&quot;"/>
    <numFmt numFmtId="204" formatCode="0%"/>
    <numFmt numFmtId="205" formatCode="@"/>
    <numFmt numFmtId="206" formatCode="#,##0"/>
    <numFmt numFmtId="207" formatCode="yyyy&quot;年&quot;m&quot;月&quot;"/>
    <numFmt numFmtId="208" formatCode="0%"/>
    <numFmt numFmtId="209" formatCode="@"/>
    <numFmt numFmtId="210" formatCode="#,##0"/>
  </numFmts>
  <fonts count="42">
    <font>
      <sz val="11"/>
      <color theme="1"/>
      <name val="Calibri"/>
      <family val="2"/>
      <scheme val="minor"/>
    </font>
    <font>
      <sz val="11"/>
      <color rgb="FF000000"/>
      <name val="Carlito"/>
      <family val="2"/>
    </font>
    <font>
      <sz val="11"/>
      <color rgb="FF000000"/>
      <name val="宋体"/>
      <family val="2"/>
    </font>
    <font>
      <b val="true"/>
      <sz val="10"/>
      <color rgb="FFFFFFFF"/>
      <name val="Microsoft YaHei"/>
      <family val="2"/>
    </font>
    <font>
      <sz val="10"/>
      <color rgb="FF1F2937"/>
      <name val="Microsoft YaHei"/>
      <family val="2"/>
    </font>
    <font>
      <sz val="11"/>
      <color rgb="FF0000FF"/>
      <name val="宋体"/>
      <family val="2"/>
    </font>
    <font>
      <sz val="11"/>
      <color rgb="FF000000"/>
      <name val="Calibri"/>
      <family val="2"/>
      <scheme val="minor"/>
    </font>
    <font>
      <sz val="8"/>
      <color rgb="FF1F2937"/>
      <name val="Microsoft YaHei"/>
      <family val="2"/>
    </font>
    <font>
      <b val="true"/>
      <sz val="10"/>
      <color rgb="FFFF0000"/>
      <name val="Microsoft YaHei"/>
      <family val="2"/>
    </font>
    <font>
      <b val="true"/>
      <sz val="11"/>
      <color rgb="FF000000"/>
      <name val="Carlito"/>
      <family val="2"/>
    </font>
    <font>
      <b val="true"/>
      <sz val="11"/>
      <color rgb="FF000000"/>
      <name val="Carlito"/>
      <family val="2"/>
    </font>
    <font>
      <b val="true"/>
      <sz val="11"/>
      <color rgb="FF000000"/>
      <name val="宋体"/>
      <family val="2"/>
    </font>
    <font>
      <b val="true"/>
      <sz val="11"/>
      <color rgb="FF000000"/>
      <name val="宋体"/>
      <family val="2"/>
    </font>
    <font>
      <sz val="10"/>
      <color rgb="FF000000"/>
      <name val="宋体"/>
      <family val="2"/>
    </font>
    <font>
      <b val="true"/>
      <sz val="10"/>
      <color rgb="FFF54A45"/>
      <name val="宋体"/>
      <family val="2"/>
    </font>
    <font>
      <b val="true"/>
      <sz val="10"/>
      <color rgb="FFF54A45"/>
      <name val="Microsoft YaHei"/>
      <family val="2"/>
    </font>
    <font>
      <sz val="9"/>
      <color rgb="FF000000"/>
      <name val="宋体"/>
      <family val="2"/>
    </font>
    <font>
      <b val="true"/>
      <sz val="11"/>
      <color rgb="FFFFFFFF"/>
      <name val="宋体"/>
      <family val="2"/>
    </font>
    <font>
      <sz val="11"/>
      <color rgb="FF000000"/>
      <name val="等线"/>
      <family val="2"/>
    </font>
    <font>
      <b val="true"/>
      <sz val="10"/>
      <color rgb="FFFFFFFF"/>
      <name val="等线"/>
      <family val="2"/>
    </font>
    <font>
      <sz val="11"/>
      <color rgb="FFFFFFFF"/>
      <name val="等线"/>
      <family val="2"/>
    </font>
    <font>
      <sz val="10"/>
      <color rgb="FF000000"/>
      <name val="等线"/>
      <family val="2"/>
    </font>
    <font>
      <sz val="11"/>
      <color rgb="FF0000FF"/>
      <name val="等线"/>
      <family val="2"/>
    </font>
    <font>
      <sz val="10"/>
      <color rgb="FFFF0000"/>
      <name val="宋体"/>
      <family val="2"/>
    </font>
    <font>
      <sz val="11"/>
      <color rgb="FFFF0000"/>
      <name val="等线"/>
      <family val="2"/>
    </font>
    <font>
      <b val="true"/>
      <sz val="11"/>
      <color rgb="FF1F4E79"/>
      <name val="宋体"/>
      <family val="2"/>
    </font>
    <font>
      <sz val="9"/>
      <color rgb="FF002F36"/>
      <name val="宋体"/>
      <family val="2"/>
    </font>
    <font>
      <b val="true"/>
      <sz val="11"/>
      <color rgb="FFFFFFFF"/>
      <name val="Microsoft YaHei"/>
      <family val="2"/>
    </font>
    <font>
      <sz val="10"/>
      <color rgb="FF000000"/>
      <name val="Microsoft YaHei"/>
      <family val="2"/>
    </font>
    <font>
      <sz val="10"/>
      <color rgb="FF0000FF"/>
      <name val="Microsoft YaHei"/>
      <family val="2"/>
    </font>
    <font>
      <sz val="10"/>
      <color rgb="FFFF0000"/>
      <name val="Microsoft YaHei"/>
      <family val="2"/>
    </font>
    <font>
      <b val="true"/>
      <sz val="11"/>
      <color rgb="FF5D3D1C"/>
      <name val="宋体"/>
      <family val="2"/>
    </font>
    <font>
      <b val="true"/>
      <sz val="10"/>
      <color rgb="FF000000"/>
      <name val="宋体"/>
      <family val="2"/>
    </font>
    <font>
      <sz val="9"/>
      <color rgb="FF000000"/>
      <name val="宋体"/>
      <family val="2"/>
    </font>
    <font>
      <sz val="10"/>
      <color rgb="FF000000"/>
      <name val="宋体"/>
      <family val="2"/>
    </font>
    <font>
      <u val="single"/>
      <sz val="10"/>
      <color rgb="FF0000FF"/>
      <name val="宋体"/>
      <family val="2"/>
    </font>
    <font>
      <sz val="10"/>
      <color rgb="FF1F2329"/>
      <name val="宋体"/>
      <family val="2"/>
    </font>
    <font>
      <sz val="11"/>
      <color rgb="FF1F2329"/>
      <name val="宋体"/>
      <family val="2"/>
    </font>
    <font>
      <b val="true"/>
      <sz val="10"/>
      <color rgb="FF000000"/>
      <name val="宋体"/>
      <family val="2"/>
    </font>
    <font>
      <sz val="10"/>
      <color rgb="FF373C43"/>
      <name val="宋体"/>
      <family val="2"/>
    </font>
    <font>
      <b val="true"/>
      <sz val="11"/>
      <color rgb="FF000000"/>
      <name val="等线"/>
      <family val="2"/>
    </font>
    <font>
      <sz val="11"/>
      <color rgb="FFFF0000"/>
      <name val="宋体"/>
      <family val="2"/>
    </font>
  </fonts>
  <fills count="3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8C8C"/>
        <bgColor/>
      </patternFill>
    </fill>
    <fill>
      <patternFill patternType="solid">
        <fgColor rgb="FFFFF4CC"/>
        <bgColor/>
      </patternFill>
    </fill>
    <fill>
      <patternFill patternType="solid">
        <fgColor rgb="FFDAEEF3"/>
        <bgColor/>
      </patternFill>
    </fill>
    <fill>
      <patternFill patternType="solid">
        <fgColor rgb="FF4F81BD"/>
        <bgColor/>
      </patternFill>
    </fill>
    <fill>
      <patternFill patternType="solid">
        <fgColor rgb="FFDBE5F1"/>
        <bgColor/>
      </patternFill>
    </fill>
    <fill>
      <patternFill patternType="solid">
        <fgColor rgb="FFFDECEC"/>
        <bgColor/>
      </patternFill>
    </fill>
    <fill>
      <patternFill patternType="solid">
        <fgColor rgb="FFEAF2FF"/>
        <bgColor/>
      </patternFill>
    </fill>
    <fill>
      <patternFill patternType="solid">
        <fgColor rgb="FFE8F5E9"/>
        <bgColor/>
      </patternFill>
    </fill>
    <fill>
      <patternFill patternType="solid">
        <fgColor rgb="FF008080"/>
        <bgColor/>
      </patternFill>
    </fill>
    <fill>
      <patternFill patternType="solid">
        <fgColor rgb="FFFAFAFA"/>
        <bgColor/>
      </patternFill>
    </fill>
    <fill>
      <patternFill patternType="solid">
        <fgColor rgb="FF008080"/>
        <bgColor/>
      </patternFill>
    </fill>
    <fill>
      <patternFill patternType="solid">
        <fgColor rgb="FF008080"/>
        <bgColor/>
      </patternFill>
    </fill>
    <fill>
      <patternFill patternType="solid">
        <fgColor rgb="FFD6E4F0"/>
        <bgColor/>
      </patternFill>
    </fill>
    <fill>
      <patternFill patternType="solid">
        <fgColor rgb="FF008C8C"/>
        <bgColor/>
      </patternFill>
    </fill>
    <fill>
      <patternFill patternType="solid">
        <fgColor rgb="FF008080"/>
        <bgColor/>
      </patternFill>
    </fill>
    <fill>
      <patternFill patternType="solid">
        <fgColor rgb="FF2563EB"/>
        <bgColor/>
      </patternFill>
    </fill>
    <fill>
      <patternFill patternType="solid">
        <fgColor rgb="FFFFF4CC"/>
        <bgColor/>
      </patternFill>
    </fill>
    <fill>
      <patternFill patternType="solid">
        <fgColor rgb="FF008080"/>
        <bgColor/>
      </patternFill>
    </fill>
    <fill>
      <patternFill patternType="solid">
        <fgColor rgb="FFDBE5F1"/>
        <bgColor/>
      </patternFill>
    </fill>
    <fill>
      <patternFill patternType="solid">
        <fgColor rgb="FFF0F0F0"/>
        <bgColor/>
      </patternFill>
    </fill>
    <fill>
      <patternFill patternType="solid">
        <fgColor rgb="FFDAEEF3"/>
        <bgColor/>
      </patternFill>
    </fill>
    <fill>
      <patternFill patternType="solid">
        <fgColor rgb="FFECE2FE"/>
        <bgColor/>
      </patternFill>
    </fill>
    <fill>
      <patternFill patternType="solid">
        <fgColor rgb="FFFED4A4"/>
        <bgColor/>
      </patternFill>
    </fill>
    <fill>
      <patternFill patternType="solid">
        <fgColor rgb="FFFFFF00"/>
        <bgColor/>
      </patternFill>
    </fill>
    <fill>
      <patternFill patternType="solid">
        <fgColor rgb="FF7F3BF5"/>
        <bgColor/>
      </patternFill>
    </fill>
    <fill>
      <patternFill patternType="solid">
        <fgColor rgb="FFB3D600"/>
        <bgColor/>
      </patternFill>
    </fill>
    <fill>
      <patternFill patternType="solid">
        <fgColor rgb="FFFED4A4"/>
        <bgColor/>
      </patternFill>
    </fill>
    <fill>
      <patternFill patternType="solid">
        <fgColor rgb="FFFFF258"/>
        <bgColor/>
      </patternFill>
    </fill>
    <fill>
      <patternFill patternType="solid">
        <fgColor rgb="FF4E83FD"/>
        <bgColor/>
      </patternFill>
    </fill>
    <fill>
      <patternFill patternType="solid">
        <fgColor rgb="FFDBE5F1"/>
        <bgColor/>
      </patternFill>
    </fill>
    <fill>
      <patternFill patternType="solid">
        <fgColor rgb="FF63BE7B"/>
        <bgColor/>
      </patternFill>
    </fill>
    <fill>
      <patternFill patternType="solid">
        <fgColor rgb="FFDBE5F1"/>
        <bgColor/>
      </patternFill>
    </fill>
  </fills>
  <borders count="74">
    <border>
      <left/>
      <right/>
      <top/>
      <bottom/>
      <diagonal/>
    </border>
    <border>
      <left style="thin">
        <color rgb="FFD6DEE8"/>
      </left>
      <right/>
      <top style="thin">
        <color rgb="FFD6DEE8"/>
      </top>
      <bottom/>
      <diagonal/>
    </border>
    <border>
      <left/>
      <right style="thin">
        <color rgb="FFD6DEE8"/>
      </right>
      <top style="thin">
        <color rgb="FFD6DEE8"/>
      </top>
      <bottom/>
      <diagonal/>
    </border>
    <border>
      <left style="thin">
        <color rgb="FFD6DEE8"/>
      </left>
      <right/>
      <top/>
      <bottom/>
      <diagonal/>
    </border>
    <border>
      <left/>
      <right style="thin">
        <color rgb="FFD6DEE8"/>
      </right>
      <top/>
      <bottom/>
      <diagonal/>
    </border>
    <border>
      <left style="thin">
        <color rgb="FFD6DEE8"/>
      </left>
      <right/>
      <top/>
      <bottom style="thin">
        <color rgb="FFD6DEE8"/>
      </bottom>
      <diagonal/>
    </border>
    <border>
      <left/>
      <right style="thin">
        <color rgb="FFD6DEE8"/>
      </right>
      <top/>
      <bottom style="thin">
        <color rgb="FFD6DEE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rgb="FF95B3D7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medium">
        <color rgb="FF5D3D1C"/>
      </top>
      <bottom style="medium">
        <color rgb="FF5D3D1C"/>
      </bottom>
      <diagonal/>
    </border>
    <border>
      <left style="thin">
        <color rgb="FFDEE0E3"/>
      </left>
      <right style="thin">
        <color rgb="FFDEE0E3"/>
      </right>
      <top style="thin">
        <color rgb="FF5D3D1C"/>
      </top>
      <bottom style="thin">
        <color rgb="FF5D3D1C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000000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000000"/>
      </top>
      <bottom style="thin">
        <color rgb="FF1F2329"/>
      </bottom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1F2329"/>
      </bottom>
      <diagonal/>
    </border>
    <border>
      <left style="thin">
        <color rgb="FF1F2329"/>
      </left>
      <right style="thin">
        <color rgb="FF000000"/>
      </right>
      <top style="thin">
        <color rgb="FF000000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/>
      <top style="thin">
        <color rgb="FF000000"/>
      </top>
      <bottom style="thin">
        <color rgb="FF1F232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 style="medium">
        <color rgb="FF1F2329"/>
      </left>
      <right style="medium">
        <color rgb="FF1F2329"/>
      </right>
      <top style="medium">
        <color rgb="FF000000"/>
      </top>
      <bottom style="medium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medium">
        <color rgb="FF5D3D1C"/>
      </top>
      <bottom style="medium">
        <color rgb="FF5D3D1C"/>
      </bottom>
      <diagonal/>
    </border>
    <border>
      <left style="thin">
        <color rgb="FFDEE0E3"/>
      </left>
      <right style="thin">
        <color rgb="FFDEE0E3"/>
      </right>
      <top style="thin">
        <color rgb="FF5D3D1C"/>
      </top>
      <bottom style="thin">
        <color rgb="FF5D3D1C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medium">
        <color rgb="FF5D3D1C"/>
      </bottom>
      <diagonal/>
    </border>
    <border>
      <left/>
      <right/>
      <top/>
      <bottom style="thin">
        <color rgb="FF95B3D7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3">
    <xf applyAlignment="true" applyBorder="false" applyFill="false" applyFont="false" applyNumberFormat="false" applyProtection="false" borderId="0" fillId="0" fontId="0" numFmtId="0"/>
    <xf applyAlignment="true" applyBorder="true" applyFill="true" applyFont="true" applyNumberFormat="true" applyProtection="true" borderId="0" fillId="0" fontId="1" numFmtId="0">
      <alignment vertical="bottom"/>
    </xf>
    <xf applyAlignment="true" applyBorder="true" applyFill="true" applyFont="true" applyNumberFormat="true" applyProtection="true" borderId="0" fillId="0" fontId="2" numFmtId="166">
      <alignment vertical="center"/>
    </xf>
  </cellStyleXfs>
  <cellXfs count="341">
    <xf applyAlignment="false" applyBorder="false" applyFill="false" applyFont="false" applyNumberFormat="false" applyProtection="false" borderId="0" fillId="0" fontId="0" numFmtId="0" xfId="0">
      <alignment vertical="center"/>
    </xf>
    <xf applyAlignment="false" applyBorder="false" applyFill="false" applyFont="false" applyNumberFormat="false" applyProtection="false" borderId="0" fillId="0" fontId="2" numFmtId="0" xfId="1">
      <alignment vertical="bottom"/>
    </xf>
    <xf applyAlignment="false" applyBorder="false" applyFill="false" applyFont="false" applyNumberFormat="false" applyProtection="false" borderId="0" fillId="2" fontId="3" numFmtId="0" xfId="1">
      <alignment horizontal="center" vertical="center"/>
    </xf>
    <xf applyAlignment="false" applyBorder="false" applyFill="false" applyFont="false" applyNumberFormat="false" applyProtection="false" borderId="0" fillId="0" fontId="4" numFmtId="0" xfId="1">
      <alignment horizontal="center" vertical="center"/>
    </xf>
    <xf applyAlignment="false" applyBorder="false" applyFill="false" applyFont="false" applyNumberFormat="false" applyProtection="false" borderId="0" fillId="0" fontId="4" numFmtId="0" xfId="1">
      <alignment vertical="center"/>
    </xf>
    <xf applyAlignment="false" applyBorder="false" applyFill="false" applyFont="false" applyNumberFormat="false" applyProtection="false" borderId="0" fillId="0" fontId="1" numFmtId="0" xfId="1">
      <alignment vertical="bottom"/>
    </xf>
    <xf applyAlignment="true" applyBorder="false" applyFill="false" applyFont="true" applyNumberFormat="false" applyProtection="false" borderId="0" fillId="0" fontId="1" numFmtId="0" xfId="0">
      <alignment vertical="bottom"/>
    </xf>
    <xf applyAlignment="false" applyBorder="false" applyFill="false" applyFont="false" applyNumberFormat="false" applyProtection="false" borderId="1" fillId="0" fontId="4" numFmtId="0" xfId="1">
      <alignment vertical="center"/>
    </xf>
    <xf applyAlignment="false" applyBorder="false" applyFill="false" applyFont="false" applyNumberFormat="false" applyProtection="false" borderId="2" fillId="3" fontId="4" numFmtId="164" xfId="1">
      <alignment vertical="center"/>
    </xf>
    <xf applyAlignment="false" applyBorder="false" applyFill="false" applyFont="false" applyNumberFormat="false" applyProtection="false" borderId="1" fillId="0" fontId="4" numFmtId="0" xfId="1">
      <alignment horizontal="center" vertical="center"/>
    </xf>
    <xf applyAlignment="true" applyBorder="false" applyFill="true" applyFont="true" applyNumberFormat="true" applyProtection="false" borderId="2" fillId="3" fontId="4" numFmtId="164" xfId="0">
      <alignment horizontal="center" vertical="center"/>
    </xf>
    <xf applyAlignment="false" applyBorder="false" applyFill="false" applyFont="false" applyNumberFormat="false" applyProtection="false" borderId="2" fillId="3" fontId="4" numFmtId="164" xfId="1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true" applyProtection="false" borderId="0" fillId="0" fontId="2" numFmtId="165" xfId="0">
      <alignment vertical="bottom"/>
    </xf>
    <xf applyAlignment="true" applyBorder="false" applyFill="false" applyFont="true" applyNumberFormat="true" applyProtection="false" borderId="0" fillId="0" fontId="2" numFmtId="165" xfId="0">
      <alignment horizontal="center" vertical="center"/>
    </xf>
    <xf applyAlignment="false" applyBorder="false" applyFill="false" applyFont="false" applyNumberFormat="false" applyProtection="false" borderId="3" fillId="0" fontId="4" numFmtId="0" xfId="1">
      <alignment vertical="center"/>
    </xf>
    <xf applyAlignment="false" applyBorder="false" applyFill="false" applyFont="false" applyNumberFormat="false" applyProtection="false" borderId="4" fillId="3" fontId="4" numFmtId="164" xfId="1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false" applyBorder="false" applyFill="false" applyFont="false" applyNumberFormat="false" applyProtection="false" borderId="3" fillId="0" fontId="4" numFmtId="0" xfId="1">
      <alignment horizontal="center" vertical="center"/>
    </xf>
    <xf applyAlignment="true" applyBorder="false" applyFill="true" applyFont="true" applyNumberFormat="true" applyProtection="false" borderId="4" fillId="3" fontId="4" numFmtId="164" xfId="0">
      <alignment horizontal="center" vertical="center"/>
    </xf>
    <xf applyAlignment="false" applyBorder="false" applyFill="false" applyFont="false" applyNumberFormat="false" applyProtection="false" borderId="4" fillId="3" fontId="4" numFmtId="164" xfId="1">
      <alignment horizontal="center" vertical="center"/>
    </xf>
    <xf applyAlignment="true" applyBorder="false" applyFill="false" applyFont="true" applyNumberFormat="true" applyProtection="false" borderId="0" fillId="0" fontId="2" numFmtId="166" xfId="0">
      <alignment vertical="bottom"/>
    </xf>
    <xf applyAlignment="false" applyBorder="false" applyFill="false" applyFont="false" applyNumberFormat="false" applyProtection="false" borderId="0" fillId="0" fontId="4" numFmtId="166" xfId="1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false" applyFont="true" applyNumberFormat="true" applyProtection="false" borderId="4" fillId="0" fontId="4" numFmtId="164" xfId="0">
      <alignment vertical="center"/>
    </xf>
    <xf applyAlignment="true" applyBorder="false" applyFill="false" applyFont="true" applyNumberFormat="true" applyProtection="false" borderId="0" fillId="0" fontId="4" numFmtId="167" xfId="0">
      <alignment horizontal="center" vertical="center"/>
    </xf>
    <xf applyAlignment="false" applyBorder="false" applyFill="false" applyFont="false" applyNumberFormat="false" applyProtection="false" borderId="5" fillId="0" fontId="4" numFmtId="0" xfId="1">
      <alignment horizontal="center" vertical="center"/>
    </xf>
    <xf applyAlignment="false" applyBorder="false" applyFill="false" applyFont="false" applyNumberFormat="false" applyProtection="false" borderId="6" fillId="3" fontId="4" numFmtId="164" xfId="1">
      <alignment horizontal="center" vertical="center"/>
    </xf>
    <xf applyAlignment="true" applyBorder="false" applyFill="false" applyFont="true" applyNumberFormat="true" applyProtection="false" borderId="0" fillId="0" fontId="2" numFmtId="166" xfId="0">
      <alignment vertical="bottom"/>
    </xf>
    <xf applyAlignment="false" applyBorder="false" applyFill="false" applyFont="false" applyNumberFormat="false" applyProtection="false" borderId="0" fillId="0" fontId="4" numFmtId="164" xfId="1">
      <alignment vertical="center"/>
    </xf>
    <xf applyAlignment="false" applyBorder="false" applyFill="false" applyFont="false" applyNumberFormat="false" applyProtection="false" borderId="0" fillId="3" fontId="4" numFmtId="164" xfId="1">
      <alignment horizontal="center" vertical="center"/>
    </xf>
    <xf applyAlignment="true" applyBorder="false" applyFill="false" applyFont="true" applyNumberFormat="true" applyProtection="false" borderId="7" fillId="0" fontId="5" numFmtId="164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6" numFmtId="166" xfId="0">
      <alignment horizontal="center" vertical="center"/>
    </xf>
    <xf applyAlignment="true" applyBorder="false" applyFill="false" applyFont="true" applyNumberFormat="true" applyProtection="false" borderId="0" fillId="0" fontId="4" numFmtId="167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bottom"/>
    </xf>
    <xf applyAlignment="false" applyBorder="false" applyFill="false" applyFont="false" applyNumberFormat="false" applyProtection="false" borderId="0" fillId="0" fontId="7" numFmtId="0" xfId="1">
      <alignment horizontal="left" vertical="center" wrapText="true"/>
    </xf>
    <xf applyAlignment="false" applyBorder="false" applyFill="false" applyFont="false" applyNumberFormat="false" applyProtection="false" borderId="0" fillId="0" fontId="7" numFmtId="0" xfId="1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vertical="center"/>
    </xf>
    <xf applyAlignment="false" applyBorder="false" applyFill="false" applyFont="false" applyNumberFormat="false" applyProtection="false" borderId="8" fillId="2" fontId="3" numFmtId="0" xfId="1">
      <alignment horizontal="center" vertical="center" wrapText="true"/>
    </xf>
    <xf applyAlignment="false" applyBorder="false" applyFill="false" applyFont="false" applyNumberFormat="false" applyProtection="false" borderId="8" fillId="2" fontId="8" numFmtId="0" xfId="1">
      <alignment horizontal="center" vertical="center" wrapText="true"/>
    </xf>
    <xf applyAlignment="true" applyBorder="false" applyFill="true" applyFont="true" applyNumberFormat="true" applyProtection="false" borderId="9" fillId="4" fontId="9" numFmtId="165" xfId="0">
      <alignment horizontal="center" vertical="bottom"/>
    </xf>
    <xf applyAlignment="true" applyBorder="false" applyFill="true" applyFont="true" applyNumberFormat="false" applyProtection="false" borderId="10" fillId="5" fontId="12" numFmtId="0" xfId="0">
      <alignment vertical="bottom"/>
    </xf>
    <xf applyAlignment="false" applyBorder="false" applyFill="false" applyFont="false" applyNumberFormat="false" applyProtection="false" borderId="10" fillId="5" fontId="12" numFmtId="0" xfId="1">
      <alignment vertical="bottom"/>
    </xf>
    <xf applyAlignment="true" applyBorder="false" applyFill="true" applyFont="true" applyNumberFormat="false" applyProtection="false" borderId="8" fillId="6" fontId="13" numFmtId="0" xfId="0">
      <alignment horizontal="center" vertical="center"/>
    </xf>
    <xf applyAlignment="true" applyBorder="false" applyFill="true" applyFont="true" applyNumberFormat="false" applyProtection="false" borderId="8" fillId="6" fontId="13" numFmtId="0" xfId="0">
      <alignment horizontal="center" vertical="center"/>
    </xf>
    <xf applyAlignment="false" applyBorder="false" applyFill="false" applyFont="false" applyNumberFormat="false" applyProtection="false" borderId="8" fillId="6" fontId="4" numFmtId="0" xfId="1">
      <alignment vertical="center"/>
    </xf>
    <xf applyAlignment="false" applyBorder="false" applyFill="false" applyFont="false" applyNumberFormat="false" applyProtection="false" borderId="8" fillId="6" fontId="4" numFmtId="0" xfId="1">
      <alignment horizontal="center" vertical="center"/>
    </xf>
    <xf applyAlignment="false" applyBorder="false" applyFill="false" applyFont="false" applyNumberFormat="false" applyProtection="false" borderId="8" fillId="6" fontId="4" numFmtId="168" xfId="1">
      <alignment horizontal="center" vertical="center"/>
    </xf>
    <xf applyAlignment="true" applyBorder="false" applyFill="true" applyFont="true" applyNumberFormat="true" applyProtection="false" borderId="8" fillId="6" fontId="4" numFmtId="168" xfId="0">
      <alignment horizontal="center" vertical="center"/>
    </xf>
    <xf applyAlignment="false" applyBorder="false" applyFill="false" applyFont="false" applyNumberFormat="false" applyProtection="false" borderId="8" fillId="6" fontId="4" numFmtId="164" xfId="1">
      <alignment horizontal="center" vertical="center"/>
    </xf>
    <xf applyAlignment="false" applyBorder="false" applyFill="false" applyFont="false" applyNumberFormat="false" applyProtection="false" borderId="8" fillId="6" fontId="4" numFmtId="164" xfId="1">
      <alignment horizontal="right" vertical="center"/>
    </xf>
    <xf applyAlignment="false" applyBorder="false" applyFill="false" applyFont="false" applyNumberFormat="false" applyProtection="false" borderId="8" fillId="7" fontId="4" numFmtId="168" xfId="1">
      <alignment vertical="center"/>
    </xf>
    <xf applyAlignment="false" applyBorder="false" applyFill="false" applyFont="false" applyNumberFormat="false" applyProtection="false" borderId="8" fillId="8" fontId="4" numFmtId="168" xfId="1">
      <alignment vertical="center"/>
    </xf>
    <xf applyAlignment="false" applyBorder="false" applyFill="false" applyFont="false" applyNumberFormat="false" applyProtection="false" borderId="8" fillId="9" fontId="4" numFmtId="168" xfId="1">
      <alignment vertical="center"/>
    </xf>
    <xf applyAlignment="false" applyBorder="false" applyFill="false" applyFont="false" applyNumberFormat="false" applyProtection="false" borderId="8" fillId="8" fontId="4" numFmtId="168" xfId="1">
      <alignment horizontal="center" vertical="center"/>
    </xf>
    <xf applyAlignment="false" applyBorder="false" applyFill="false" applyFont="false" applyNumberFormat="false" applyProtection="false" borderId="8" fillId="9" fontId="4" numFmtId="168" xfId="1">
      <alignment horizontal="center" vertical="center"/>
    </xf>
    <xf applyAlignment="true" applyBorder="false" applyFill="true" applyFont="true" applyNumberFormat="true" applyProtection="false" borderId="8" fillId="8" fontId="4" numFmtId="168" xfId="0">
      <alignment vertical="center"/>
    </xf>
    <xf applyAlignment="false" applyBorder="false" applyFill="false" applyFont="false" applyNumberFormat="false" applyProtection="false" borderId="8" fillId="6" fontId="4" numFmtId="168" xfId="1">
      <alignment vertical="center"/>
    </xf>
    <xf applyAlignment="false" applyBorder="false" applyFill="false" applyFont="false" applyNumberFormat="false" applyProtection="false" borderId="10" fillId="6" fontId="1" numFmtId="169" xfId="1">
      <alignment horizontal="center" vertical="center"/>
    </xf>
    <xf applyAlignment="true" applyBorder="false" applyFill="true" applyFont="true" applyNumberFormat="true" applyProtection="false" borderId="10" fillId="6" fontId="1" numFmtId="170" xfId="0">
      <alignment horizontal="center" vertical="center"/>
    </xf>
    <xf applyAlignment="true" applyBorder="false" applyFill="true" applyFont="true" applyNumberFormat="true" applyProtection="false" borderId="10" fillId="6" fontId="1" numFmtId="164" xfId="0">
      <alignment horizontal="center" vertical="center"/>
    </xf>
    <xf applyAlignment="false" applyBorder="false" applyFill="false" applyFont="false" applyNumberFormat="false" applyProtection="false" borderId="10" fillId="6" fontId="1" numFmtId="166" xfId="2">
      <alignment horizontal="center" vertical="center"/>
    </xf>
    <xf applyAlignment="true" applyBorder="false" applyFill="true" applyFont="true" applyNumberFormat="true" applyProtection="false" borderId="11" fillId="6" fontId="1" numFmtId="169" xfId="0">
      <alignment horizontal="center" vertical="center"/>
    </xf>
    <xf applyAlignment="true" applyBorder="false" applyFill="false" applyFont="true" applyNumberFormat="false" applyProtection="false" borderId="8" fillId="0" fontId="13" numFmtId="0" xfId="0">
      <alignment horizontal="center" vertical="center"/>
    </xf>
    <xf applyAlignment="false" applyBorder="false" applyFill="false" applyFont="false" applyNumberFormat="false" applyProtection="false" borderId="8" fillId="0" fontId="4" numFmtId="0" xfId="1">
      <alignment vertical="center"/>
    </xf>
    <xf applyAlignment="false" applyBorder="false" applyFill="false" applyFont="false" applyNumberFormat="false" applyProtection="false" borderId="8" fillId="0" fontId="4" numFmtId="0" xfId="1">
      <alignment horizontal="center" vertical="center"/>
    </xf>
    <xf applyAlignment="false" applyBorder="false" applyFill="false" applyFont="false" applyNumberFormat="false" applyProtection="false" borderId="8" fillId="0" fontId="4" numFmtId="168" xfId="1">
      <alignment horizontal="center" vertical="center"/>
    </xf>
    <xf applyAlignment="false" applyBorder="false" applyFill="false" applyFont="false" applyNumberFormat="false" applyProtection="false" borderId="8" fillId="0" fontId="4" numFmtId="164" xfId="1">
      <alignment horizontal="center" vertical="center"/>
    </xf>
    <xf applyAlignment="false" applyBorder="false" applyFill="false" applyFont="false" applyNumberFormat="false" applyProtection="false" borderId="8" fillId="0" fontId="4" numFmtId="164" xfId="1">
      <alignment horizontal="right" vertical="center"/>
    </xf>
    <xf applyAlignment="false" applyBorder="false" applyFill="false" applyFont="false" applyNumberFormat="false" applyProtection="false" borderId="8" fillId="0" fontId="4" numFmtId="168" xfId="1">
      <alignment vertical="center"/>
    </xf>
    <xf applyAlignment="false" applyBorder="false" applyFill="false" applyFont="false" applyNumberFormat="false" applyProtection="false" borderId="10" fillId="0" fontId="1" numFmtId="169" xfId="1">
      <alignment horizontal="center" vertical="center"/>
    </xf>
    <xf applyAlignment="false" applyBorder="false" applyFill="false" applyFont="false" applyNumberFormat="false" applyProtection="false" borderId="10" fillId="0" fontId="1" numFmtId="166" xfId="2">
      <alignment horizontal="center" vertical="center"/>
    </xf>
    <xf applyAlignment="true" applyBorder="false" applyFill="true" applyFont="true" applyNumberFormat="true" applyProtection="false" borderId="8" fillId="6" fontId="4" numFmtId="164" xfId="0">
      <alignment horizontal="right" vertical="center"/>
    </xf>
    <xf applyAlignment="true" applyBorder="false" applyFill="false" applyFont="true" applyNumberFormat="true" applyProtection="false" borderId="8" fillId="0" fontId="4" numFmtId="164" xfId="0">
      <alignment horizontal="right" vertical="center"/>
    </xf>
    <xf applyAlignment="false" applyBorder="false" applyFill="false" applyFont="false" applyNumberFormat="false" applyProtection="false" borderId="8" fillId="0" fontId="4" numFmtId="171" xfId="1">
      <alignment horizontal="center" vertical="center"/>
    </xf>
    <xf applyAlignment="true" applyBorder="false" applyFill="true" applyFont="true" applyNumberFormat="false" applyProtection="false" borderId="8" fillId="6" fontId="14" numFmtId="0" xfId="0">
      <alignment horizontal="center" vertical="center"/>
    </xf>
    <xf applyAlignment="true" applyBorder="false" applyFill="true" applyFont="true" applyNumberFormat="true" applyProtection="false" borderId="8" fillId="6" fontId="4" numFmtId="164" xfId="0">
      <alignment horizontal="center" vertical="center"/>
    </xf>
    <xf applyAlignment="true" applyBorder="false" applyFill="true" applyFont="true" applyNumberFormat="true" applyProtection="false" borderId="8" fillId="6" fontId="15" numFmtId="164" xfId="0">
      <alignment horizontal="right" vertical="center"/>
    </xf>
    <xf applyAlignment="true" applyBorder="false" applyFill="false" applyFont="true" applyNumberFormat="true" applyProtection="false" borderId="8" fillId="0" fontId="15" numFmtId="164" xfId="0">
      <alignment horizontal="right" vertical="center"/>
    </xf>
    <xf applyAlignment="true" applyBorder="false" applyFill="false" applyFont="true" applyNumberFormat="true" applyProtection="false" borderId="8" fillId="0" fontId="4" numFmtId="164" xfId="0">
      <alignment horizontal="center" vertical="center"/>
    </xf>
    <xf applyAlignment="true" applyBorder="false" applyFill="true" applyFont="true" applyNumberFormat="true" applyProtection="false" borderId="8" fillId="6" fontId="4" numFmtId="164" xfId="0">
      <alignment horizontal="center" vertical="center"/>
    </xf>
    <xf applyAlignment="true" applyBorder="false" applyFill="true" applyFont="true" applyNumberFormat="true" applyProtection="false" borderId="8" fillId="6" fontId="15" numFmtId="164" xfId="0">
      <alignment horizontal="right" vertical="center"/>
    </xf>
    <xf applyAlignment="false" applyBorder="false" applyFill="false" applyFont="false" applyNumberFormat="false" applyProtection="false" borderId="8" fillId="6" fontId="4" numFmtId="171" xfId="1">
      <alignment horizontal="center" vertical="center"/>
    </xf>
    <xf applyAlignment="false" applyBorder="false" applyFill="false" applyFont="false" applyNumberFormat="false" applyProtection="false" borderId="0" fillId="0" fontId="4" numFmtId="0" xfId="1">
      <alignment horizontal="right" vertical="center"/>
    </xf>
    <xf applyAlignment="false" applyBorder="false" applyFill="false" applyFont="false" applyNumberFormat="false" applyProtection="false" borderId="8" fillId="10" fontId="3" numFmtId="0" xfId="1">
      <alignment horizontal="center" vertical="center" wrapText="true"/>
    </xf>
    <xf applyAlignment="true" applyBorder="false" applyFill="true" applyFont="true" applyNumberFormat="true" applyProtection="false" borderId="8" fillId="10" fontId="3" numFmtId="171" xfId="0">
      <alignment horizontal="center" vertical="center" wrapText="true"/>
    </xf>
    <xf applyAlignment="true" applyBorder="false" applyFill="true" applyFont="true" applyNumberFormat="true" applyProtection="false" borderId="8" fillId="10" fontId="3" numFmtId="172" xfId="0">
      <alignment horizontal="center" vertical="center" wrapText="true"/>
    </xf>
    <xf applyAlignment="false" applyBorder="false" applyFill="false" applyFont="false" applyNumberFormat="false" applyProtection="false" borderId="8" fillId="10" fontId="3" numFmtId="171" xfId="1">
      <alignment horizontal="center" vertical="center" wrapText="true"/>
    </xf>
    <xf applyAlignment="false" applyBorder="false" applyFill="false" applyFont="false" applyNumberFormat="false" applyProtection="false" borderId="8" fillId="11" fontId="4" numFmtId="0" xfId="1">
      <alignment horizontal="center" vertical="center"/>
    </xf>
    <xf applyAlignment="true" applyBorder="false" applyFill="true" applyFont="true" applyNumberFormat="true" applyProtection="false" borderId="8" fillId="11" fontId="4" numFmtId="168" xfId="0">
      <alignment horizontal="center" vertical="center"/>
    </xf>
    <xf applyAlignment="false" applyBorder="false" applyFill="false" applyFont="false" applyNumberFormat="false" applyProtection="false" borderId="10" fillId="6" fontId="4" numFmtId="0" xfId="1">
      <alignment vertical="center"/>
    </xf>
    <xf applyAlignment="false" applyBorder="false" applyFill="false" applyFont="false" applyNumberFormat="false" applyProtection="false" borderId="11" fillId="6" fontId="4" numFmtId="0" xfId="1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166" xfId="0">
      <alignment vertical="center"/>
    </xf>
    <xf applyAlignment="false" applyBorder="false" applyFill="false" applyFont="false" applyNumberFormat="false" applyProtection="false" borderId="10" fillId="0" fontId="4" numFmtId="0" xfId="1">
      <alignment vertical="center"/>
    </xf>
    <xf applyAlignment="false" applyBorder="false" applyFill="false" applyFont="false" applyNumberFormat="false" applyProtection="false" borderId="11" fillId="0" fontId="4" numFmtId="0" xfId="1">
      <alignment vertical="center"/>
    </xf>
    <xf applyAlignment="false" applyBorder="false" applyFill="false" applyFont="false" applyNumberFormat="false" applyProtection="false" borderId="12" fillId="10" fontId="3" numFmtId="0" xfId="1">
      <alignment vertical="center"/>
    </xf>
    <xf applyAlignment="false" applyBorder="false" applyFill="false" applyFont="false" applyNumberFormat="false" applyProtection="false" borderId="10" fillId="10" fontId="3" numFmtId="0" xfId="1">
      <alignment vertical="center"/>
    </xf>
    <xf applyAlignment="false" applyBorder="false" applyFill="false" applyFont="false" applyNumberFormat="false" applyProtection="false" borderId="10" fillId="10" fontId="3" numFmtId="0" xfId="1">
      <alignment horizontal="center" vertical="center"/>
    </xf>
    <xf applyAlignment="false" applyBorder="false" applyFill="false" applyFont="false" applyNumberFormat="false" applyProtection="false" borderId="0" fillId="10" fontId="3" numFmtId="0" xfId="1">
      <alignment vertical="center"/>
    </xf>
    <xf applyAlignment="false" applyBorder="false" applyFill="false" applyFont="false" applyNumberFormat="false" applyProtection="false" borderId="12" fillId="3" fontId="4" numFmtId="0" xfId="1">
      <alignment vertical="center"/>
    </xf>
    <xf applyAlignment="false" applyBorder="false" applyFill="false" applyFont="false" applyNumberFormat="false" applyProtection="false" borderId="10" fillId="3" fontId="4" numFmtId="168" xfId="1">
      <alignment vertical="center"/>
    </xf>
    <xf applyAlignment="false" applyBorder="false" applyFill="false" applyFont="false" applyNumberFormat="false" applyProtection="false" borderId="10" fillId="3" fontId="4" numFmtId="168" xfId="1">
      <alignment horizontal="center" vertical="center"/>
    </xf>
    <xf applyAlignment="false" applyBorder="false" applyFill="false" applyFont="false" applyNumberFormat="false" applyProtection="false" borderId="10" fillId="6" fontId="4" numFmtId="164" xfId="1">
      <alignment horizontal="center" vertical="center"/>
    </xf>
    <xf applyAlignment="false" applyBorder="false" applyFill="false" applyFont="false" applyNumberFormat="false" applyProtection="false" borderId="0" fillId="3" fontId="4" numFmtId="0" xfId="1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4" numFmtId="164" xfId="0">
      <alignment vertical="center"/>
    </xf>
    <xf applyAlignment="false" applyBorder="false" applyFill="false" applyFont="false" applyNumberFormat="false" applyProtection="false" borderId="10" fillId="0" fontId="4" numFmtId="164" xfId="1">
      <alignment horizontal="center" vertical="center"/>
    </xf>
    <xf applyAlignment="true" applyBorder="false" applyFill="false" applyFont="true" applyNumberFormat="true" applyProtection="false" borderId="0" fillId="0" fontId="2" numFmtId="164" xfId="0">
      <alignment vertical="center"/>
    </xf>
    <xf applyAlignment="true" applyBorder="false" applyFill="true" applyFont="true" applyNumberFormat="true" applyProtection="false" borderId="10" fillId="3" fontId="4" numFmtId="168" xfId="0">
      <alignment horizontal="center" vertical="center"/>
    </xf>
    <xf applyAlignment="false" applyBorder="false" applyFill="false" applyFont="false" applyNumberFormat="false" applyProtection="false" borderId="0" fillId="0" fontId="1" numFmtId="0" xfId="1">
      <alignment horizontal="center" vertical="bottom"/>
    </xf>
    <xf applyAlignment="true" applyBorder="false" applyFill="false" applyFont="true" applyNumberFormat="false" applyProtection="false" borderId="0" fillId="0" fontId="1" numFmtId="0" xfId="0">
      <alignment horizontal="center" vertical="bottom"/>
    </xf>
    <xf applyAlignment="false" applyBorder="false" applyFill="false" applyFont="false" applyNumberFormat="false" applyProtection="false" borderId="0" fillId="0" fontId="1" numFmtId="0" xfId="1">
      <alignment horizontal="center" vertical="center"/>
    </xf>
    <xf applyAlignment="true" applyBorder="false" applyFill="true" applyFont="true" applyNumberFormat="false" applyProtection="false" borderId="13" fillId="12" fontId="17" numFmtId="0" xfId="0">
      <alignment horizontal="center" vertical="center" wrapText="true"/>
    </xf>
    <xf applyAlignment="true" applyBorder="false" applyFill="false" applyFont="true" applyNumberFormat="false" applyProtection="false" borderId="13" fillId="0" fontId="13" numFmtId="0" xfId="0">
      <alignment horizontal="center" vertical="center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3" fillId="0" fontId="5" numFmtId="0" xfId="0">
      <alignment vertical="center" wrapText="true"/>
    </xf>
    <xf applyAlignment="true" applyBorder="false" applyFill="false" applyFont="true" applyNumberFormat="false" applyProtection="false" borderId="13" fillId="0" fontId="2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horizontal="center" vertical="bottom"/>
    </xf>
    <xf applyAlignment="true" applyBorder="false" applyFill="false" applyFont="true" applyNumberFormat="false" applyProtection="false" borderId="0" fillId="0" fontId="18" numFmtId="0" xfId="0">
      <alignment horizontal="center" vertical="center"/>
    </xf>
    <xf applyAlignment="true" applyBorder="false" applyFill="true" applyFont="true" applyNumberFormat="false" applyProtection="false" borderId="14" fillId="13" fontId="19" numFmtId="0" xfId="0">
      <alignment horizontal="center" vertical="center" wrapText="true"/>
    </xf>
    <xf applyAlignment="true" applyBorder="false" applyFill="true" applyFont="true" applyNumberFormat="false" applyProtection="false" borderId="15" fillId="13" fontId="19" numFmtId="0" xfId="0">
      <alignment horizontal="center" vertical="center" wrapText="true"/>
    </xf>
    <xf applyAlignment="true" applyBorder="false" applyFill="true" applyFont="true" applyNumberFormat="false" applyProtection="false" borderId="16" fillId="13" fontId="19" numFmtId="0" xfId="0">
      <alignment horizontal="center" vertical="center" wrapText="true"/>
    </xf>
    <xf applyAlignment="true" applyBorder="false" applyFill="true" applyFont="true" applyNumberFormat="false" applyProtection="false" borderId="17" fillId="13" fontId="19" numFmtId="0" xfId="0">
      <alignment horizontal="center" vertical="center" wrapText="true"/>
    </xf>
    <xf applyAlignment="true" applyBorder="false" applyFill="true" applyFont="true" applyNumberFormat="false" applyProtection="false" borderId="18" fillId="13" fontId="19" numFmtId="0" xfId="0">
      <alignment horizontal="center" vertical="center" wrapText="true"/>
    </xf>
    <xf applyAlignment="true" applyBorder="false" applyFill="true" applyFont="true" applyNumberFormat="false" applyProtection="false" borderId="14" fillId="13" fontId="20" numFmtId="0" xfId="0">
      <alignment horizontal="center" vertical="center"/>
    </xf>
    <xf applyAlignment="true" applyBorder="false" applyFill="true" applyFont="true" applyNumberFormat="false" applyProtection="false" borderId="19" fillId="13" fontId="20" numFmtId="0" xfId="0">
      <alignment horizontal="center" vertical="center"/>
    </xf>
    <xf applyAlignment="true" applyBorder="false" applyFill="true" applyFont="true" applyNumberFormat="false" applyProtection="false" borderId="20" fillId="13" fontId="20" numFmtId="0" xfId="0">
      <alignment horizontal="center" vertical="center"/>
    </xf>
    <xf applyAlignment="true" applyBorder="false" applyFill="true" applyFont="true" applyNumberFormat="false" applyProtection="false" borderId="21" fillId="13" fontId="20" numFmtId="0" xfId="0">
      <alignment horizontal="center" vertical="center"/>
    </xf>
    <xf applyAlignment="true" applyBorder="false" applyFill="false" applyFont="true" applyNumberFormat="true" applyProtection="false" borderId="0" fillId="0" fontId="18" numFmtId="173" xfId="0">
      <alignment horizontal="center" vertical="center"/>
    </xf>
    <xf applyAlignment="true" applyBorder="false" applyFill="false" applyFont="true" applyNumberFormat="false" applyProtection="false" borderId="0" fillId="0" fontId="21" numFmtId="0" xfId="0">
      <alignment horizontal="center" vertical="center"/>
    </xf>
    <xf applyAlignment="true" applyBorder="false" applyFill="true" applyFont="true" applyNumberFormat="false" applyProtection="false" borderId="22" fillId="13" fontId="19" numFmtId="0" xfId="0">
      <alignment horizontal="center" vertical="center" wrapText="true"/>
    </xf>
    <xf applyAlignment="true" applyBorder="false" applyFill="false" applyFont="true" applyNumberFormat="false" applyProtection="false" borderId="0" fillId="0" fontId="18" numFmtId="0" xfId="0">
      <alignment vertical="bottom"/>
    </xf>
    <xf applyAlignment="true" applyBorder="false" applyFill="false" applyFont="true" applyNumberFormat="false" applyProtection="false" borderId="14" fillId="0" fontId="13" numFmtId="0" xfId="0">
      <alignment horizontal="center" vertical="center"/>
    </xf>
    <xf applyAlignment="true" applyBorder="false" applyFill="false" applyFont="true" applyNumberFormat="true" applyProtection="false" borderId="14" fillId="0" fontId="13" numFmtId="174" xfId="0">
      <alignment horizontal="center" vertical="center"/>
    </xf>
    <xf applyAlignment="true" applyBorder="false" applyFill="false" applyFont="true" applyNumberFormat="true" applyProtection="false" borderId="14" fillId="0" fontId="13" numFmtId="173" xfId="0">
      <alignment horizontal="center" vertical="center"/>
    </xf>
    <xf applyAlignment="true" applyBorder="false" applyFill="false" applyFont="true" applyNumberFormat="true" applyProtection="false" borderId="14" fillId="0" fontId="22" numFmtId="175" xfId="0">
      <alignment vertical="center"/>
    </xf>
    <xf applyAlignment="true" applyBorder="false" applyFill="false" applyFont="true" applyNumberFormat="true" applyProtection="false" borderId="14" fillId="0" fontId="18" numFmtId="175" xfId="0">
      <alignment vertical="center"/>
    </xf>
    <xf applyAlignment="true" applyBorder="false" applyFill="false" applyFont="true" applyNumberFormat="true" applyProtection="false" borderId="14" fillId="0" fontId="18" numFmtId="176" xfId="0">
      <alignment vertical="center"/>
    </xf>
    <xf applyAlignment="true" applyBorder="false" applyFill="false" applyFont="true" applyNumberFormat="false" applyProtection="false" borderId="0" fillId="0" fontId="18" numFmtId="0" xfId="0">
      <alignment horizontal="center" vertical="bottom"/>
    </xf>
    <xf applyAlignment="true" applyBorder="false" applyFill="false" applyFont="true" applyNumberFormat="false" applyProtection="false" borderId="0" fillId="0" fontId="18" numFmtId="0" xfId="0">
      <alignment vertical="bottom"/>
    </xf>
    <xf applyAlignment="true" applyBorder="false" applyFill="false" applyFont="true" applyNumberFormat="true" applyProtection="false" borderId="0" fillId="0" fontId="18" numFmtId="173" xfId="0">
      <alignment vertical="bottom"/>
    </xf>
    <xf applyAlignment="true" applyBorder="false" applyFill="false" applyFont="true" applyNumberFormat="false" applyProtection="false" borderId="14" fillId="0" fontId="23" numFmtId="0" xfId="0">
      <alignment horizontal="center" vertical="center"/>
    </xf>
    <xf applyAlignment="true" applyBorder="false" applyFill="false" applyFont="true" applyNumberFormat="true" applyProtection="false" borderId="14" fillId="0" fontId="24" numFmtId="175" xfId="0">
      <alignment vertical="center"/>
    </xf>
    <xf applyAlignment="true" applyBorder="false" applyFill="false" applyFont="true" applyNumberFormat="true" applyProtection="false" borderId="14" fillId="0" fontId="24" numFmtId="176" xfId="0">
      <alignment vertical="center"/>
    </xf>
    <xf applyAlignment="true" applyBorder="false" applyFill="false" applyFont="true" applyNumberFormat="false" applyProtection="false" borderId="0" fillId="0" fontId="24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bottom"/>
    </xf>
    <xf applyAlignment="true" applyBorder="false" applyFill="true" applyFont="true" applyNumberFormat="false" applyProtection="false" borderId="23" fillId="14" fontId="25" numFmtId="0" xfId="0">
      <alignment vertical="center"/>
    </xf>
    <xf applyAlignment="true" applyBorder="false" applyFill="true" applyFont="true" applyNumberFormat="false" applyProtection="false" borderId="23" fillId="14" fontId="25" numFmtId="0" xfId="0">
      <alignment horizontal="center" vertical="center"/>
    </xf>
    <xf applyAlignment="false" applyBorder="false" applyFill="false" applyFont="false" applyNumberFormat="false" applyProtection="false" borderId="0" fillId="15" fontId="3" numFmtId="0" xfId="1">
      <alignment horizontal="center" vertical="center"/>
    </xf>
    <xf applyAlignment="true" applyBorder="false" applyFill="true" applyFont="true" applyNumberFormat="false" applyProtection="false" borderId="23" fillId="16" fontId="17" numFmtId="0" xfId="0">
      <alignment horizontal="center" vertical="center" wrapText="true"/>
    </xf>
    <xf applyAlignment="false" applyBorder="false" applyFill="false" applyFont="false" applyNumberFormat="false" applyProtection="false" borderId="0" fillId="17" fontId="3" numFmtId="0" xfId="1">
      <alignment horizontal="center" vertical="center"/>
    </xf>
    <xf applyAlignment="true" applyBorder="false" applyFill="false" applyFont="true" applyNumberFormat="false" applyProtection="false" borderId="24" fillId="0" fontId="26" numFmtId="0" xfId="0">
      <alignment horizontal="center" vertical="center"/>
    </xf>
    <xf applyAlignment="true" applyBorder="false" applyFill="false" applyFont="true" applyNumberFormat="false" applyProtection="false" borderId="23" fillId="0" fontId="5" numFmtId="0" xfId="0">
      <alignment horizontal="center" vertical="center" wrapText="true"/>
    </xf>
    <xf applyAlignment="true" applyBorder="false" applyFill="false" applyFont="true" applyNumberFormat="true" applyProtection="false" borderId="23" fillId="0" fontId="5" numFmtId="177" xfId="0">
      <alignment vertical="center" wrapText="true"/>
    </xf>
    <xf applyAlignment="true" applyBorder="false" applyFill="false" applyFont="true" applyNumberFormat="true" applyProtection="false" borderId="23" fillId="0" fontId="5" numFmtId="178" xfId="0">
      <alignment horizontal="center" vertical="center" wrapText="true"/>
    </xf>
    <xf applyAlignment="true" applyBorder="false" applyFill="false" applyFont="true" applyNumberFormat="false" applyProtection="false" borderId="23" fillId="0" fontId="5" numFmtId="0" xfId="0">
      <alignment vertical="center" wrapText="true"/>
    </xf>
    <xf applyAlignment="false" applyBorder="false" applyFill="false" applyFont="false" applyNumberFormat="false" applyProtection="false" borderId="0" fillId="18" fontId="4" numFmtId="0" xfId="1">
      <alignment vertical="center"/>
    </xf>
    <xf applyAlignment="false" applyBorder="false" applyFill="false" applyFont="false" applyNumberFormat="false" applyProtection="false" borderId="0" fillId="18" fontId="4" numFmtId="179" xfId="1">
      <alignment vertical="center"/>
    </xf>
    <xf applyAlignment="false" applyBorder="false" applyFill="false" applyFont="false" applyNumberFormat="false" applyProtection="false" borderId="0" fillId="0" fontId="4" numFmtId="178" xfId="1">
      <alignment vertical="center"/>
    </xf>
    <xf applyAlignment="true" applyBorder="false" applyFill="false" applyFont="true" applyNumberFormat="true" applyProtection="false" borderId="23" fillId="0" fontId="5" numFmtId="177" xfId="0">
      <alignment horizontal="center" vertical="center" wrapText="true"/>
    </xf>
    <xf applyAlignment="true" applyBorder="false" applyFill="false" applyFont="true" applyNumberFormat="true" applyProtection="false" borderId="23" fillId="0" fontId="5" numFmtId="18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25" fillId="19" fontId="27" numFmtId="0" xfId="0">
      <alignment horizontal="center" vertical="center" wrapText="true"/>
    </xf>
    <xf applyAlignment="true" applyBorder="false" applyFill="true" applyFont="true" applyNumberFormat="true" applyProtection="false" borderId="25" fillId="19" fontId="27" numFmtId="181" xfId="0">
      <alignment horizontal="center" vertical="center" wrapText="true"/>
    </xf>
    <xf applyAlignment="true" applyBorder="false" applyFill="false" applyFont="true" applyNumberFormat="false" applyProtection="false" borderId="25" fillId="0" fontId="28" numFmtId="0" xfId="0">
      <alignment horizontal="center" vertical="center" wrapText="true"/>
    </xf>
    <xf applyAlignment="true" applyBorder="false" applyFill="false" applyFont="true" applyNumberFormat="true" applyProtection="false" borderId="25" fillId="0" fontId="29" numFmtId="182" xfId="0">
      <alignment horizontal="center" vertical="center" wrapText="true"/>
    </xf>
    <xf applyAlignment="true" applyBorder="false" applyFill="false" applyFont="true" applyNumberFormat="true" applyProtection="false" borderId="25" fillId="0" fontId="28" numFmtId="182" xfId="0">
      <alignment horizontal="center" vertical="center" wrapText="true"/>
    </xf>
    <xf applyAlignment="true" applyBorder="false" applyFill="false" applyFont="true" applyNumberFormat="false" applyProtection="false" borderId="25" fillId="0" fontId="30" numFmtId="0" xfId="0">
      <alignment horizontal="center" vertical="center" wrapText="true"/>
    </xf>
    <xf applyAlignment="true" applyBorder="false" applyFill="false" applyFont="true" applyNumberFormat="true" applyProtection="false" borderId="25" fillId="0" fontId="30" numFmtId="182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true" applyFont="true" applyNumberFormat="false" applyProtection="false" borderId="26" fillId="20" fontId="12" numFmtId="0" xfId="0">
      <alignment vertical="bottom"/>
    </xf>
    <xf applyAlignment="true" applyBorder="false" applyFill="false" applyFont="true" applyNumberFormat="true" applyProtection="false" borderId="0" fillId="0" fontId="2" numFmtId="183" xfId="0">
      <alignment vertical="bottom"/>
    </xf>
    <xf applyAlignment="true" applyBorder="false" applyFill="false" applyFont="true" applyNumberFormat="false" applyProtection="false" borderId="26" fillId="0" fontId="2" numFmtId="0" xfId="0">
      <alignment vertical="bottom"/>
    </xf>
    <xf applyAlignment="true" applyBorder="false" applyFill="false" applyFont="true" applyNumberFormat="true" applyProtection="false" borderId="27" fillId="0" fontId="13" numFmtId="184" xfId="0">
      <alignment horizontal="right" vertical="center"/>
    </xf>
    <xf applyAlignment="true" applyBorder="false" applyFill="false" applyFont="true" applyNumberFormat="false" applyProtection="false" borderId="28" fillId="0" fontId="31" numFmtId="0" xfId="0">
      <alignment horizontal="center" vertical="center"/>
    </xf>
    <xf applyAlignment="true" applyBorder="false" applyFill="false" applyFont="true" applyNumberFormat="false" applyProtection="false" borderId="29" fillId="0" fontId="31" numFmtId="0" xfId="0">
      <alignment horizontal="center" vertical="center"/>
    </xf>
    <xf applyAlignment="true" applyBorder="false" applyFill="false" applyFont="true" applyNumberFormat="false" applyProtection="false" borderId="30" fillId="0" fontId="12" numFmtId="0" xfId="0">
      <alignment horizontal="center" vertical="center"/>
    </xf>
    <xf applyAlignment="true" applyBorder="false" applyFill="false" applyFont="true" applyNumberFormat="true" applyProtection="false" borderId="30" fillId="0" fontId="12" numFmtId="185" xfId="0">
      <alignment horizontal="center" vertical="center"/>
    </xf>
    <xf applyAlignment="true" applyBorder="false" applyFill="false" applyFont="true" applyNumberFormat="false" applyProtection="false" borderId="30" fillId="0" fontId="2" numFmtId="0" xfId="0">
      <alignment horizontal="center" vertical="center"/>
    </xf>
    <xf applyAlignment="true" applyBorder="false" applyFill="false" applyFont="true" applyNumberFormat="true" applyProtection="false" borderId="30" fillId="0" fontId="13" numFmtId="186" xfId="0">
      <alignment horizontal="right" vertical="center"/>
    </xf>
    <xf applyAlignment="true" applyBorder="false" applyFill="true" applyFont="true" applyNumberFormat="false" applyProtection="false" borderId="30" fillId="21" fontId="12" numFmtId="0" xfId="0">
      <alignment horizontal="center" vertical="center"/>
    </xf>
    <xf applyAlignment="true" applyBorder="false" applyFill="false" applyFont="true" applyNumberFormat="false" applyProtection="false" borderId="30" fillId="0" fontId="13" numFmtId="0" xfId="0">
      <alignment horizontal="right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187" xfId="0">
      <alignment vertical="center"/>
    </xf>
    <xf applyAlignment="true" applyBorder="false" applyFill="false" applyFont="true" applyNumberFormat="false" applyProtection="false" borderId="31" fillId="0" fontId="32" numFmtId="0" xfId="0">
      <alignment vertical="center"/>
    </xf>
    <xf applyAlignment="true" applyBorder="false" applyFill="false" applyFont="true" applyNumberFormat="false" applyProtection="false" borderId="31" fillId="0" fontId="13" numFmtId="0" xfId="0">
      <alignment vertical="center"/>
    </xf>
    <xf applyAlignment="true" applyBorder="false" applyFill="true" applyFont="true" applyNumberFormat="true" applyProtection="false" borderId="31" fillId="22" fontId="9" numFmtId="188" xfId="0">
      <alignment horizontal="center" vertical="bottom"/>
    </xf>
    <xf applyAlignment="true" applyBorder="false" applyFill="false" applyFont="true" applyNumberFormat="false" applyProtection="false" borderId="31" fillId="0" fontId="13" numFmtId="0" xfId="0">
      <alignment horizontal="center" vertical="center"/>
    </xf>
    <xf applyAlignment="true" applyBorder="false" applyFill="false" applyFont="true" applyNumberFormat="true" applyProtection="false" borderId="31" fillId="0" fontId="13" numFmtId="189" xfId="0">
      <alignment horizontal="center" vertical="center"/>
    </xf>
    <xf applyAlignment="true" applyBorder="false" applyFill="true" applyFont="true" applyNumberFormat="false" applyProtection="false" borderId="31" fillId="23" fontId="13" numFmtId="0" xfId="0">
      <alignment horizontal="center" vertical="center"/>
    </xf>
    <xf applyAlignment="true" applyBorder="false" applyFill="true" applyFont="true" applyNumberFormat="true" applyProtection="false" borderId="31" fillId="23" fontId="13" numFmtId="189" xfId="0">
      <alignment horizontal="center" vertical="center"/>
    </xf>
    <xf applyAlignment="true" applyBorder="false" applyFill="false" applyFont="true" applyNumberFormat="false" applyProtection="false" borderId="32" fillId="0" fontId="33" numFmtId="0" xfId="0">
      <alignment horizontal="center" vertical="center"/>
    </xf>
    <xf applyAlignment="true" applyBorder="false" applyFill="false" applyFont="true" applyNumberFormat="true" applyProtection="false" borderId="32" fillId="0" fontId="33" numFmtId="19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false" applyProtection="false" borderId="32" fillId="0" fontId="26" numFmtId="0" xfId="0">
      <alignment horizontal="center" vertical="center"/>
    </xf>
    <xf applyAlignment="true" applyBorder="false" applyFill="false" applyFont="true" applyNumberFormat="true" applyProtection="false" borderId="32" fillId="0" fontId="33" numFmtId="19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bottom"/>
    </xf>
    <xf applyAlignment="true" applyBorder="false" applyFill="true" applyFont="true" applyNumberFormat="false" applyProtection="false" borderId="33" fillId="24" fontId="13" numFmtId="0" xfId="0">
      <alignment horizontal="center" vertical="center"/>
    </xf>
    <xf applyAlignment="true" applyBorder="false" applyFill="true" applyFont="true" applyNumberFormat="false" applyProtection="false" borderId="33" fillId="24" fontId="13" numFmtId="0" xfId="0">
      <alignment horizontal="center" vertical="center" wrapText="true"/>
    </xf>
    <xf applyAlignment="true" applyBorder="false" applyFill="true" applyFont="true" applyNumberFormat="true" applyProtection="false" borderId="33" fillId="24" fontId="13" numFmtId="191" xfId="0">
      <alignment horizontal="center" vertical="center"/>
    </xf>
    <xf applyAlignment="true" applyBorder="false" applyFill="true" applyFont="true" applyNumberFormat="false" applyProtection="false" borderId="34" fillId="24" fontId="13" numFmtId="0" xfId="0">
      <alignment horizontal="center" vertical="center"/>
    </xf>
    <xf applyAlignment="true" applyBorder="false" applyFill="true" applyFont="true" applyNumberFormat="false" applyProtection="false" borderId="33" fillId="25" fontId="32" numFmtId="0" xfId="0">
      <alignment horizontal="center" vertical="center"/>
    </xf>
    <xf applyAlignment="true" applyBorder="false" applyFill="true" applyFont="true" applyNumberFormat="false" applyProtection="false" borderId="35" fillId="26" fontId="13" numFmtId="0" xfId="0">
      <alignment horizontal="center" vertical="center"/>
    </xf>
    <xf applyAlignment="true" applyBorder="false" applyFill="true" applyFont="true" applyNumberFormat="false" applyProtection="false" borderId="33" fillId="26" fontId="13" numFmtId="0" xfId="0">
      <alignment horizontal="center" vertical="center"/>
    </xf>
    <xf applyAlignment="true" applyBorder="false" applyFill="false" applyFont="true" applyNumberFormat="false" applyProtection="false" borderId="36" fillId="0" fontId="13" numFmtId="0" xfId="0">
      <alignment horizontal="center" vertical="center"/>
    </xf>
    <xf applyAlignment="true" applyBorder="false" applyFill="true" applyFont="true" applyNumberFormat="false" applyProtection="false" borderId="36" fillId="25" fontId="13" numFmtId="0" xfId="0">
      <alignment horizontal="center" vertical="center" wrapText="true"/>
    </xf>
    <xf applyAlignment="true" applyBorder="false" applyFill="true" applyFont="true" applyNumberFormat="false" applyProtection="false" borderId="36" fillId="25" fontId="13" numFmtId="0" xfId="0">
      <alignment horizontal="center" vertical="center"/>
    </xf>
    <xf applyAlignment="true" applyBorder="false" applyFill="false" applyFont="true" applyNumberFormat="false" applyProtection="false" borderId="37" fillId="0" fontId="13" numFmtId="0" xfId="0">
      <alignment horizontal="center" vertical="center"/>
    </xf>
    <xf applyAlignment="true" applyBorder="false" applyFill="false" applyFont="true" applyNumberFormat="false" applyProtection="false" borderId="38" fillId="0" fontId="13" numFmtId="0" xfId="0">
      <alignment horizontal="center" vertical="center"/>
    </xf>
    <xf applyAlignment="true" applyBorder="false" applyFill="false" applyFont="true" applyNumberFormat="false" applyProtection="false" borderId="39" fillId="0" fontId="13" numFmtId="0" xfId="0">
      <alignment horizontal="center" vertical="center"/>
    </xf>
    <xf applyAlignment="true" applyBorder="false" applyFill="false" applyFont="true" applyNumberFormat="true" applyProtection="false" borderId="36" fillId="0" fontId="13" numFmtId="192" xfId="0">
      <alignment horizontal="center" vertical="center"/>
    </xf>
    <xf applyAlignment="true" applyBorder="false" applyFill="false" applyFont="true" applyNumberFormat="true" applyProtection="false" borderId="36" fillId="0" fontId="13" numFmtId="193" xfId="0">
      <alignment horizontal="center" vertical="center"/>
    </xf>
    <xf applyAlignment="true" applyBorder="false" applyFill="false" applyFont="true" applyNumberFormat="true" applyProtection="false" borderId="36" fillId="0" fontId="13" numFmtId="194" xfId="0">
      <alignment horizontal="center" vertical="center"/>
    </xf>
    <xf applyAlignment="true" applyBorder="false" applyFill="false" applyFont="true" applyNumberFormat="true" applyProtection="false" borderId="40" fillId="0" fontId="13" numFmtId="193" xfId="0">
      <alignment horizontal="center" vertical="center"/>
    </xf>
    <xf applyAlignment="true" applyBorder="false" applyFill="false" applyFont="true" applyNumberFormat="true" applyProtection="false" borderId="38" fillId="0" fontId="13" numFmtId="193" xfId="0">
      <alignment horizontal="center" vertical="center"/>
    </xf>
    <xf applyAlignment="true" applyBorder="false" applyFill="false" applyFont="true" applyNumberFormat="true" applyProtection="false" borderId="36" fillId="0" fontId="13" numFmtId="191" xfId="0">
      <alignment horizontal="center" vertical="center"/>
    </xf>
    <xf applyAlignment="true" applyBorder="false" applyFill="false" applyFont="true" applyNumberFormat="false" applyProtection="false" borderId="41" fillId="0" fontId="13" numFmtId="0" xfId="0">
      <alignment horizontal="center" vertical="center"/>
    </xf>
    <xf applyAlignment="true" applyBorder="false" applyFill="false" applyFont="true" applyNumberFormat="true" applyProtection="false" borderId="42" fillId="0" fontId="13" numFmtId="193" xfId="0">
      <alignment horizontal="center" vertical="center"/>
    </xf>
    <xf applyAlignment="true" applyBorder="false" applyFill="false" applyFont="true" applyNumberFormat="false" applyProtection="false" borderId="43" fillId="0" fontId="13" numFmtId="0" xfId="0">
      <alignment horizontal="center" vertical="center"/>
    </xf>
    <xf applyAlignment="true" applyBorder="false" applyFill="false" applyFont="true" applyNumberFormat="true" applyProtection="false" borderId="37" fillId="0" fontId="36" numFmtId="195" xfId="0">
      <alignment horizontal="center" vertical="center"/>
    </xf>
    <xf applyAlignment="true" applyBorder="false" applyFill="false" applyFont="true" applyNumberFormat="true" applyProtection="false" borderId="37" fillId="0" fontId="13" numFmtId="193" xfId="0">
      <alignment horizontal="center" vertical="center"/>
    </xf>
    <xf applyAlignment="true" applyBorder="false" applyFill="false" applyFont="true" applyNumberFormat="false" applyProtection="false" borderId="36" fillId="0" fontId="13" numFmtId="0" xfId="0">
      <alignment horizontal="center" vertical="center" wrapText="true"/>
    </xf>
    <xf applyAlignment="true" applyBorder="false" applyFill="false" applyFont="true" applyNumberFormat="true" applyProtection="false" borderId="43" fillId="0" fontId="13" numFmtId="192" xfId="0">
      <alignment horizontal="center" vertical="center"/>
    </xf>
    <xf applyAlignment="true" applyBorder="false" applyFill="false" applyFont="true" applyNumberFormat="true" applyProtection="false" borderId="44" fillId="0" fontId="2" numFmtId="193" xfId="0">
      <alignment horizontal="center" vertical="center"/>
    </xf>
    <xf applyAlignment="true" applyBorder="false" applyFill="false" applyFont="true" applyNumberFormat="true" applyProtection="false" borderId="45" fillId="0" fontId="37" numFmtId="193" xfId="0">
      <alignment horizontal="center" vertical="center"/>
    </xf>
    <xf applyAlignment="true" applyBorder="false" applyFill="false" applyFont="true" applyNumberFormat="true" applyProtection="false" borderId="45" fillId="0" fontId="33" numFmtId="193" xfId="0">
      <alignment horizontal="center" vertical="center"/>
    </xf>
    <xf applyAlignment="true" applyBorder="false" applyFill="false" applyFont="true" applyNumberFormat="true" applyProtection="false" borderId="46" fillId="0" fontId="13" numFmtId="193" xfId="0">
      <alignment horizontal="center" vertical="center"/>
    </xf>
    <xf applyAlignment="true" applyBorder="false" applyFill="false" applyFont="true" applyNumberFormat="false" applyProtection="false" borderId="36" fillId="0" fontId="32" numFmtId="0" xfId="0">
      <alignment horizontal="center" vertical="center"/>
    </xf>
    <xf applyAlignment="true" applyBorder="false" applyFill="false" applyFont="true" applyNumberFormat="false" applyProtection="false" borderId="47" fillId="0" fontId="13" numFmtId="0" xfId="0">
      <alignment horizontal="center" vertical="center"/>
    </xf>
    <xf applyAlignment="true" applyBorder="false" applyFill="false" applyFont="true" applyNumberFormat="true" applyProtection="false" borderId="37" fillId="0" fontId="13" numFmtId="196" xfId="0">
      <alignment horizontal="center" vertical="center"/>
    </xf>
    <xf applyAlignment="true" applyBorder="false" applyFill="false" applyFont="true" applyNumberFormat="false" applyProtection="false" borderId="45" fillId="0" fontId="13" numFmtId="0" xfId="0">
      <alignment horizontal="center" vertical="center"/>
    </xf>
    <xf applyAlignment="true" applyBorder="false" applyFill="false" applyFont="true" applyNumberFormat="true" applyProtection="false" borderId="45" fillId="0" fontId="13" numFmtId="197" xfId="0">
      <alignment horizontal="center" vertical="center"/>
    </xf>
    <xf applyAlignment="true" applyBorder="false" applyFill="false" applyFont="true" applyNumberFormat="true" applyProtection="false" borderId="45" fillId="0" fontId="36" numFmtId="197" xfId="0">
      <alignment horizontal="center" vertical="center"/>
    </xf>
    <xf applyAlignment="true" applyBorder="false" applyFill="false" applyFont="true" applyNumberFormat="true" applyProtection="false" borderId="37" fillId="0" fontId="2" numFmtId="197" xfId="0">
      <alignment vertical="center"/>
    </xf>
    <xf applyAlignment="true" applyBorder="false" applyFill="false" applyFont="true" applyNumberFormat="false" applyProtection="false" borderId="48" fillId="0" fontId="13" numFmtId="0" xfId="0">
      <alignment vertical="center"/>
    </xf>
    <xf applyAlignment="true" applyBorder="false" applyFill="false" applyFont="true" applyNumberFormat="false" applyProtection="false" borderId="49" fillId="0" fontId="13" numFmtId="0" xfId="0">
      <alignment horizontal="center" vertical="center"/>
    </xf>
    <xf applyAlignment="true" applyBorder="false" applyFill="false" applyFont="true" applyNumberFormat="true" applyProtection="false" borderId="50" fillId="0" fontId="13" numFmtId="192" xfId="0">
      <alignment horizontal="center" vertical="center"/>
    </xf>
    <xf applyAlignment="true" applyBorder="false" applyFill="false" applyFont="true" applyNumberFormat="false" applyProtection="false" borderId="51" fillId="0" fontId="13" numFmtId="0" xfId="0">
      <alignment horizontal="center" vertical="center"/>
    </xf>
    <xf applyAlignment="true" applyBorder="false" applyFill="false" applyFont="true" applyNumberFormat="false" applyProtection="false" borderId="37" fillId="0" fontId="39" numFmtId="0" xfId="0">
      <alignment horizontal="center" vertical="center" wrapText="true"/>
    </xf>
    <xf applyAlignment="true" applyBorder="false" applyFill="false" applyFont="true" applyNumberFormat="false" applyProtection="false" borderId="50" fillId="0" fontId="36" numFmtId="0" xfId="0">
      <alignment horizontal="center" vertical="center"/>
    </xf>
    <xf applyAlignment="true" applyBorder="false" applyFill="false" applyFont="true" applyNumberFormat="true" applyProtection="false" borderId="52" fillId="0" fontId="13" numFmtId="196" xfId="0">
      <alignment horizontal="center" vertical="center"/>
    </xf>
    <xf applyAlignment="true" applyBorder="false" applyFill="false" applyFont="true" applyNumberFormat="false" applyProtection="false" borderId="48" fillId="0" fontId="13" numFmtId="0" xfId="0">
      <alignment horizontal="center" vertical="center"/>
    </xf>
    <xf applyAlignment="true" applyBorder="false" applyFill="false" applyFont="true" applyNumberFormat="false" applyProtection="false" borderId="37" fillId="0" fontId="36" numFmtId="0" xfId="0">
      <alignment horizontal="center" vertical="center"/>
    </xf>
    <xf applyAlignment="true" applyBorder="false" applyFill="false" applyFont="true" applyNumberFormat="true" applyProtection="false" borderId="53" fillId="0" fontId="13" numFmtId="196" xfId="0">
      <alignment horizontal="center" vertical="center"/>
    </xf>
    <xf applyAlignment="true" applyBorder="false" applyFill="false" applyFont="true" applyNumberFormat="false" applyProtection="false" borderId="0" fillId="0" fontId="13" numFmtId="0" xfId="0">
      <alignment vertical="center"/>
    </xf>
    <xf applyAlignment="true" applyBorder="false" applyFill="false" applyFont="true" applyNumberFormat="true" applyProtection="false" borderId="54" fillId="0" fontId="13" numFmtId="196" xfId="0">
      <alignment horizontal="center" vertical="center"/>
    </xf>
    <xf applyAlignment="true" applyBorder="false" applyFill="false" applyFont="true" applyNumberFormat="false" applyProtection="false" borderId="37" fillId="0" fontId="33" numFmtId="0" xfId="0">
      <alignment horizontal="center" vertical="center"/>
    </xf>
    <xf applyAlignment="true" applyBorder="false" applyFill="false" applyFont="true" applyNumberFormat="false" applyProtection="false" borderId="48" fillId="0" fontId="33" numFmtId="0" xfId="0">
      <alignment horizontal="center" vertical="center"/>
    </xf>
    <xf applyAlignment="true" applyBorder="false" applyFill="false" applyFont="true" applyNumberFormat="false" applyProtection="false" borderId="55" fillId="0" fontId="40" numFmtId="0" xfId="0">
      <alignment horizontal="center" vertical="center"/>
    </xf>
    <xf applyAlignment="true" applyBorder="false" applyFill="false" applyFont="true" applyNumberFormat="false" applyProtection="false" borderId="37" fillId="0" fontId="13" numFmtId="0" xfId="0">
      <alignment vertical="center"/>
    </xf>
    <xf applyAlignment="true" applyBorder="false" applyFill="false" applyFont="true" applyNumberFormat="true" applyProtection="false" borderId="37" fillId="0" fontId="36" numFmtId="196" xfId="0">
      <alignment horizontal="center" vertical="center"/>
    </xf>
    <xf applyAlignment="true" applyBorder="false" applyFill="false" applyFont="true" applyNumberFormat="true" applyProtection="false" borderId="48" fillId="0" fontId="13" numFmtId="196" xfId="0">
      <alignment horizontal="center" vertical="center"/>
    </xf>
    <xf applyAlignment="true" applyBorder="false" applyFill="false" applyFont="true" applyNumberFormat="false" applyProtection="false" borderId="56" fillId="0" fontId="36" numFmtId="0" xfId="0">
      <alignment horizontal="center" vertical="center"/>
    </xf>
    <xf applyAlignment="true" applyBorder="false" applyFill="false" applyFont="true" applyNumberFormat="false" applyProtection="false" borderId="55" fillId="0" fontId="2" numFmtId="0" xfId="0">
      <alignment horizontal="center" vertical="center"/>
    </xf>
    <xf applyAlignment="true" applyBorder="false" applyFill="false" applyFont="true" applyNumberFormat="true" applyProtection="false" borderId="57" fillId="0" fontId="36" numFmtId="196" xfId="0">
      <alignment horizontal="center" vertical="center"/>
    </xf>
    <xf applyAlignment="true" applyBorder="false" applyFill="false" applyFont="true" applyNumberFormat="true" applyProtection="false" borderId="37" fillId="0" fontId="33" numFmtId="191" xfId="0">
      <alignment horizontal="center" vertical="center"/>
    </xf>
    <xf applyAlignment="true" applyBorder="false" applyFill="false" applyFont="true" applyNumberFormat="true" applyProtection="false" borderId="37" fillId="0" fontId="33" numFmtId="196" xfId="0">
      <alignment horizontal="center" vertical="center"/>
    </xf>
    <xf applyAlignment="true" applyBorder="false" applyFill="false" applyFont="true" applyNumberFormat="true" applyProtection="false" borderId="33" fillId="0" fontId="13" numFmtId="196" xfId="0">
      <alignment horizontal="center" vertical="center"/>
    </xf>
    <xf applyAlignment="true" applyBorder="false" applyFill="false" applyFont="true" applyNumberFormat="true" applyProtection="false" borderId="34" fillId="0" fontId="13" numFmtId="196" xfId="0">
      <alignment horizontal="center" vertical="center"/>
    </xf>
    <xf applyAlignment="true" applyBorder="false" applyFill="false" applyFont="true" applyNumberFormat="false" applyProtection="false" borderId="49" fillId="0" fontId="36" numFmtId="0" xfId="0">
      <alignment horizontal="center" vertical="center"/>
    </xf>
    <xf applyAlignment="true" applyBorder="false" applyFill="false" applyFont="true" applyNumberFormat="true" applyProtection="false" borderId="0" fillId="0" fontId="13" numFmtId="196" xfId="0">
      <alignment horizontal="center" vertical="center"/>
    </xf>
    <xf applyAlignment="true" applyBorder="false" applyFill="false" applyFont="true" applyNumberFormat="true" applyProtection="false" borderId="50" fillId="0" fontId="13" numFmtId="195" xfId="0">
      <alignment horizontal="center" vertical="center"/>
    </xf>
    <xf applyAlignment="true" applyBorder="false" applyFill="false" applyFont="true" applyNumberFormat="false" applyProtection="false" borderId="50" fillId="0" fontId="13" numFmtId="0" xfId="0">
      <alignment horizontal="center" vertical="center"/>
    </xf>
    <xf applyAlignment="true" applyBorder="false" applyFill="false" applyFont="true" applyNumberFormat="false" applyProtection="false" borderId="50" fillId="0" fontId="33" numFmtId="0" xfId="0">
      <alignment horizontal="center" vertical="center"/>
    </xf>
    <xf applyAlignment="true" applyBorder="false" applyFill="false" applyFont="true" applyNumberFormat="true" applyProtection="false" borderId="58" fillId="0" fontId="13" numFmtId="196" xfId="0">
      <alignment horizontal="center" vertical="center"/>
    </xf>
    <xf applyAlignment="true" applyBorder="false" applyFill="false" applyFont="true" applyNumberFormat="true" applyProtection="false" borderId="59" fillId="0" fontId="13" numFmtId="196" xfId="0">
      <alignment horizontal="center" vertical="center"/>
    </xf>
    <xf applyAlignment="true" applyBorder="false" applyFill="false" applyFont="true" applyNumberFormat="true" applyProtection="false" borderId="60" fillId="0" fontId="13" numFmtId="193" xfId="0">
      <alignment horizontal="center" vertical="center"/>
    </xf>
    <xf applyAlignment="true" applyBorder="false" applyFill="true" applyFont="true" applyNumberFormat="false" applyProtection="false" borderId="36" fillId="27" fontId="13" numFmtId="0" xfId="0">
      <alignment horizontal="center" vertical="center"/>
    </xf>
    <xf applyAlignment="true" applyBorder="false" applyFill="false" applyFont="true" applyNumberFormat="true" applyProtection="false" borderId="37" fillId="0" fontId="13" numFmtId="191" xfId="0">
      <alignment horizontal="center" vertical="center"/>
    </xf>
    <xf applyAlignment="true" applyBorder="false" applyFill="true" applyFont="true" applyNumberFormat="false" applyProtection="false" borderId="37" fillId="27" fontId="13" numFmtId="0" xfId="0">
      <alignment horizontal="center" vertical="center"/>
    </xf>
    <xf applyAlignment="true" applyBorder="false" applyFill="false" applyFont="true" applyNumberFormat="false" applyProtection="false" borderId="0" fillId="0" fontId="13" numFmtId="0" xfId="0">
      <alignment horizontal="center" vertical="center"/>
    </xf>
    <xf applyAlignment="true" applyBorder="false" applyFill="false" applyFont="true" applyNumberFormat="true" applyProtection="false" borderId="33" fillId="0" fontId="13" numFmtId="198" xfId="0">
      <alignment horizontal="center" vertical="center"/>
    </xf>
    <xf applyAlignment="true" applyBorder="false" applyFill="false" applyFont="true" applyNumberFormat="true" applyProtection="false" borderId="37" fillId="0" fontId="36" numFmtId="196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61" fillId="28" fontId="13" numFmtId="0" xfId="0">
      <alignment horizontal="center" vertical="center"/>
    </xf>
    <xf applyAlignment="true" applyBorder="false" applyFill="true" applyFont="true" applyNumberFormat="false" applyProtection="false" borderId="61" fillId="28" fontId="13" numFmtId="0" xfId="0">
      <alignment horizontal="left" vertical="center"/>
    </xf>
    <xf applyAlignment="true" applyBorder="false" applyFill="true" applyFont="true" applyNumberFormat="false" applyProtection="false" borderId="61" fillId="29" fontId="13" numFmtId="0" xfId="0">
      <alignment horizontal="left" vertical="center"/>
    </xf>
    <xf applyAlignment="true" applyBorder="false" applyFill="false" applyFont="true" applyNumberFormat="false" applyProtection="false" borderId="61" fillId="0" fontId="13" numFmtId="0" xfId="0">
      <alignment vertical="center"/>
    </xf>
    <xf applyAlignment="true" applyBorder="false" applyFill="false" applyFont="true" applyNumberFormat="true" applyProtection="false" borderId="61" fillId="0" fontId="13" numFmtId="199" xfId="0">
      <alignment horizontal="left" vertical="center"/>
    </xf>
    <xf applyAlignment="true" applyBorder="false" applyFill="false" applyFont="true" applyNumberFormat="false" applyProtection="false" borderId="61" fillId="0" fontId="13" numFmtId="0" xfId="0">
      <alignment horizontal="left" vertical="center"/>
    </xf>
    <xf applyAlignment="true" applyBorder="false" applyFill="false" applyFont="true" applyNumberFormat="true" applyProtection="false" borderId="61" fillId="0" fontId="36" numFmtId="200" xfId="0">
      <alignment horizontal="center" vertical="center"/>
    </xf>
    <xf applyAlignment="true" applyBorder="false" applyFill="false" applyFont="true" applyNumberFormat="true" applyProtection="false" borderId="61" fillId="0" fontId="36" numFmtId="201" xfId="0">
      <alignment horizontal="center" vertical="center"/>
    </xf>
    <xf applyAlignment="true" applyBorder="false" applyFill="false" applyFont="true" applyNumberFormat="true" applyProtection="false" borderId="62" fillId="0" fontId="36" numFmtId="200" xfId="0">
      <alignment horizontal="center" vertical="center"/>
    </xf>
    <xf applyAlignment="true" applyBorder="false" applyFill="false" applyFont="true" applyNumberFormat="true" applyProtection="false" borderId="61" fillId="0" fontId="13" numFmtId="202" xfId="0">
      <alignment horizontal="left" vertical="center"/>
    </xf>
    <xf applyAlignment="true" applyBorder="false" applyFill="false" applyFont="true" applyNumberFormat="false" applyProtection="false" borderId="0" fillId="0" fontId="37" numFmtId="0" xfId="0">
      <alignment vertical="center" wrapText="true"/>
    </xf>
    <xf applyAlignment="true" applyBorder="false" applyFill="false" applyFont="true" applyNumberFormat="false" applyProtection="false" borderId="61" fillId="0" fontId="36" numFmtId="0" xfId="0">
      <alignment horizontal="center" vertical="center"/>
    </xf>
    <xf applyAlignment="true" applyBorder="false" applyFill="false" applyFont="true" applyNumberFormat="true" applyProtection="false" borderId="61" fillId="0" fontId="13" numFmtId="201" xfId="0">
      <alignment horizontal="left" vertical="center"/>
    </xf>
    <xf applyAlignment="true" applyBorder="false" applyFill="false" applyFont="true" applyNumberFormat="true" applyProtection="false" borderId="63" fillId="0" fontId="36" numFmtId="201" xfId="0">
      <alignment horizontal="center" vertical="center"/>
    </xf>
    <xf applyAlignment="true" applyBorder="false" applyFill="false" applyFont="true" applyNumberFormat="true" applyProtection="false" borderId="63" fillId="0" fontId="36" numFmtId="200" xfId="0">
      <alignment horizontal="center" vertical="center"/>
    </xf>
    <xf applyAlignment="true" applyBorder="false" applyFill="false" applyFont="true" applyNumberFormat="true" applyProtection="false" borderId="62" fillId="0" fontId="36" numFmtId="201" xfId="0">
      <alignment horizontal="center" vertical="center"/>
    </xf>
    <xf applyAlignment="true" applyBorder="false" applyFill="false" applyFont="true" applyNumberFormat="true" applyProtection="false" borderId="61" fillId="0" fontId="36" numFmtId="199" xfId="0">
      <alignment horizontal="center" vertical="center"/>
    </xf>
    <xf applyAlignment="true" applyBorder="false" applyFill="false" applyFont="true" applyNumberFormat="false" applyProtection="false" borderId="0" fillId="0" fontId="13" numFmtId="0" xfId="0">
      <alignment horizontal="center" vertical="center"/>
    </xf>
    <xf applyAlignment="true" applyBorder="false" applyFill="false" applyFont="true" applyNumberFormat="false" applyProtection="false" borderId="61" fillId="0" fontId="13" numFmtId="0" xfId="0">
      <alignment horizontal="center" vertical="center"/>
    </xf>
    <xf applyAlignment="true" applyBorder="false" applyFill="false" applyFont="true" applyNumberFormat="false" applyProtection="false" borderId="64" fillId="0" fontId="13" numFmtId="0" xfId="0">
      <alignment horizontal="center" vertical="center"/>
    </xf>
    <xf applyAlignment="true" applyBorder="false" applyFill="true" applyFont="true" applyNumberFormat="false" applyProtection="false" borderId="61" fillId="30" fontId="13" numFmtId="0" xfId="0">
      <alignment vertical="center"/>
    </xf>
    <xf applyAlignment="true" applyBorder="false" applyFill="false" applyFont="true" applyNumberFormat="false" applyProtection="false" borderId="65" fillId="0" fontId="13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false" applyProtection="false" borderId="66" fillId="0" fontId="13" numFmtId="0" xfId="0">
      <alignment horizontal="center" vertical="center"/>
    </xf>
    <xf applyAlignment="true" applyBorder="false" applyFill="false" applyFont="true" applyNumberFormat="false" applyProtection="false" borderId="66" fillId="0" fontId="13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203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false" applyProtection="false" borderId="67" fillId="0" fontId="31" numFmtId="0" xfId="0">
      <alignment horizontal="center" vertical="center"/>
    </xf>
    <xf applyAlignment="true" applyBorder="false" applyFill="false" applyFont="true" applyNumberFormat="false" applyProtection="false" borderId="68" fillId="0" fontId="31" numFmtId="0" xfId="0">
      <alignment horizontal="center" vertical="center"/>
    </xf>
    <xf applyAlignment="true" applyBorder="false" applyFill="false" applyFont="true" applyNumberFormat="true" applyProtection="false" borderId="0" fillId="0" fontId="2" numFmtId="204" xfId="0">
      <alignment horizontal="center" vertical="center"/>
    </xf>
    <xf applyAlignment="true" applyBorder="false" applyFill="false" applyFont="true" applyNumberFormat="false" applyProtection="false" borderId="69" fillId="0" fontId="12" numFmtId="0" xfId="0">
      <alignment horizontal="center" vertical="center"/>
    </xf>
    <xf applyAlignment="true" applyBorder="false" applyFill="false" applyFont="true" applyNumberFormat="true" applyProtection="false" borderId="69" fillId="0" fontId="12" numFmtId="205" xfId="0">
      <alignment horizontal="center" vertical="center"/>
    </xf>
    <xf applyAlignment="true" applyBorder="false" applyFill="false" applyFont="true" applyNumberFormat="false" applyProtection="false" borderId="69" fillId="0" fontId="2" numFmtId="0" xfId="0">
      <alignment horizontal="center" vertical="center"/>
    </xf>
    <xf applyAlignment="true" applyBorder="false" applyFill="false" applyFont="true" applyNumberFormat="false" applyProtection="false" borderId="69" fillId="0" fontId="41" numFmtId="0" xfId="0">
      <alignment horizontal="center" vertical="center"/>
    </xf>
    <xf applyAlignment="true" applyBorder="false" applyFill="false" applyFont="true" applyNumberFormat="true" applyProtection="false" borderId="69" fillId="0" fontId="23" numFmtId="206" xfId="0">
      <alignment horizontal="right" vertical="center"/>
    </xf>
    <xf applyAlignment="true" applyBorder="false" applyFill="false" applyFont="true" applyNumberFormat="false" applyProtection="false" borderId="0" fillId="0" fontId="4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false" applyBorder="false" applyFill="false" applyFont="false" applyNumberFormat="false" applyProtection="false" borderId="70" fillId="0" fontId="4" numFmtId="205" xfId="1">
      <alignment horizontal="center" vertical="center"/>
    </xf>
    <xf applyAlignment="false" applyBorder="false" applyFill="false" applyFont="false" applyNumberFormat="false" applyProtection="false" borderId="70" fillId="0" fontId="4" numFmtId="206" xfId="1">
      <alignment horizontal="center" vertical="center"/>
    </xf>
    <xf applyAlignment="true" applyBorder="false" applyFill="false" applyFont="true" applyNumberFormat="true" applyProtection="false" borderId="0" fillId="0" fontId="2" numFmtId="203" xfId="0">
      <alignment vertical="bottom"/>
    </xf>
    <xf applyAlignment="true" applyBorder="false" applyFill="false" applyFont="true" applyNumberFormat="true" applyProtection="false" borderId="0" fillId="0" fontId="2" numFmtId="204" xfId="0">
      <alignment vertical="bottom"/>
    </xf>
    <xf applyAlignment="false" applyBorder="false" applyFill="false" applyFont="false" applyNumberFormat="false" applyProtection="false" borderId="70" fillId="31" fontId="4" numFmtId="206" xfId="1">
      <alignment horizontal="center" vertical="center"/>
    </xf>
    <xf applyAlignment="true" applyBorder="false" applyFill="false" applyFont="true" applyNumberFormat="false" applyProtection="false" borderId="69" fillId="0" fontId="23" numFmtId="0" xfId="0">
      <alignment horizontal="right" vertical="center"/>
    </xf>
    <xf applyAlignment="true" applyBorder="false" applyFill="false" applyFont="true" applyNumberFormat="false" applyProtection="false" borderId="71" fillId="0" fontId="12" numFmtId="0" xfId="0">
      <alignment horizontal="center" vertical="center"/>
    </xf>
    <xf applyAlignment="true" applyBorder="false" applyFill="false" applyFont="true" applyNumberFormat="false" applyProtection="false" borderId="71" fillId="0" fontId="41" numFmtId="0" xfId="0">
      <alignment horizontal="center" vertical="center"/>
    </xf>
    <xf applyAlignment="true" applyBorder="false" applyFill="true" applyFont="true" applyNumberFormat="false" applyProtection="false" borderId="69" fillId="32" fontId="2" numFmtId="0" xfId="0">
      <alignment horizontal="center" vertical="center"/>
    </xf>
    <xf applyAlignment="true" applyBorder="false" applyFill="false" applyFont="true" applyNumberFormat="false" applyProtection="false" borderId="72" fillId="0" fontId="41" numFmtId="0" xfId="0">
      <alignment vertical="center"/>
    </xf>
    <xf applyAlignment="true" applyBorder="false" applyFill="false" applyFont="true" applyNumberFormat="false" applyProtection="false" borderId="72" fillId="0" fontId="2" numFmtId="0" xfId="0">
      <alignment vertical="center"/>
    </xf>
    <xf applyAlignment="true" applyBorder="false" applyFill="false" applyFont="true" applyNumberFormat="false" applyProtection="false" borderId="0" fillId="0" fontId="41" numFmtId="0" xfId="0">
      <alignment vertical="bottom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true" applyProtection="false" borderId="0" fillId="0" fontId="2" numFmtId="207" xfId="0">
      <alignment horizontal="center" vertical="center"/>
    </xf>
    <xf applyAlignment="true" applyBorder="false" applyFill="false" applyFont="true" applyNumberFormat="true" applyProtection="false" borderId="0" fillId="0" fontId="2" numFmtId="208" xfId="0">
      <alignment horizontal="center" vertical="center"/>
    </xf>
    <xf applyAlignment="false" applyBorder="false" applyFill="false" applyFont="false" applyNumberFormat="false" applyProtection="false" borderId="73" fillId="0" fontId="4" numFmtId="209" xfId="1">
      <alignment horizontal="center" vertical="center"/>
    </xf>
    <xf applyAlignment="false" applyBorder="false" applyFill="false" applyFont="false" applyNumberFormat="false" applyProtection="false" borderId="73" fillId="0" fontId="4" numFmtId="210" xfId="1">
      <alignment horizontal="center" vertical="center"/>
    </xf>
    <xf applyAlignment="false" applyBorder="false" applyFill="false" applyFont="false" applyNumberFormat="false" applyProtection="false" borderId="73" fillId="33" fontId="4" numFmtId="210" xfId="1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false" applyFont="true" applyNumberFormat="false" applyProtection="false" borderId="0" fillId="0" fontId="6" numFmtId="0" xfId="0">
      <alignment vertical="center"/>
    </xf>
  </cellXfs>
  <cellStyles count="3">
    <cellStyle builtinId="0" name="Normal" xfId="0"/>
    <cellStyle name="Normal" xfId="1"/>
    <cellStyle builtinId="5" name="百分比" xfId="2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/xl/pivotCache/pivotCacheDefinition1.xml" Type="http://schemas.openxmlformats.org/officeDocument/2006/relationships/pivotCacheDefinition"></Relationship><Relationship Id="rId16" Target="worksheets/sheet12.xml" Type="http://schemas.openxmlformats.org/officeDocument/2006/relationships/worksheet"></Relationship><Relationship Id="rId17" Target="worksheets/sheet13.xml" Type="http://schemas.openxmlformats.org/officeDocument/2006/relationships/worksheet"></Relationship><Relationship Id="rId18" Target="worksheets/sheet14.xml" Type="http://schemas.openxmlformats.org/officeDocument/2006/relationships/worksheet"></Relationship><Relationship Id="rId19" Target="/xl/pivotCache/pivotCacheDefinition2.xml" Type="http://schemas.openxmlformats.org/officeDocument/2006/relationships/pivotCacheDefinition"></Relationship><Relationship Id="rId20" Target="worksheets/sheet15.xml" Type="http://schemas.openxmlformats.org/officeDocument/2006/relationships/worksheet"></Relationship><Relationship Id="rId21" Target="/xl/pivotCache/pivotCacheDefinition3.xml" Type="http://schemas.openxmlformats.org/officeDocument/2006/relationships/pivotCacheDefinition"></Relationship><Relationship Id="rId22" Target="worksheets/sheet16.xml" Type="http://schemas.openxmlformats.org/officeDocument/2006/relationships/worksheet"></Relationship><Relationship Id="rId23" Target="calcChain.xml" Type="http://schemas.openxmlformats.org/officeDocument/2006/relationships/calcChain"></Relationship><Relationship Id="rId24" Target="metadata.xml" Type="http://schemas.openxmlformats.org/officeDocument/2006/relationships/sheetMetadata"></Relationship></Relationships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E$31" sheet="大盘趋势"/>
  </cacheSource>
  <cacheFields count="5">
    <cacheField name="站点" numFmtId="0">
      <sharedItems count="0"/>
    </cacheField>
    <cacheField name="类目" numFmtId="0">
      <sharedItems count="0"/>
    </cacheField>
    <cacheField name="年份" numFmtId="0">
      <sharedItems containsString="false" containsBlank="true" containsNumber="true" containsInteger="true" minValue="2024" maxValue="2026" count="4">
        <n v="2024"/>
        <m/>
        <n v="2025"/>
        <n v="2026"/>
      </sharedItems>
    </cacheField>
    <cacheField name="月份" numFmtId="0">
      <sharedItems count="12">
        <s v="1月"/>
        <s v="2月"/>
        <s v="3月"/>
        <s v="4月"/>
        <s v="5月"/>
        <s v="6月"/>
        <s v="7月"/>
        <s v="8月"/>
        <s v="9月"/>
        <s v="10月"/>
        <s v="11月"/>
        <s v="12月"/>
      </sharedItems>
    </cacheField>
    <cacheField name="销量" numFmtId="0">
      <sharedItems containsSemiMixedTypes="false" containsString="false" containsNumber="true" containsInteger="true" minValue="84794" maxValue="519614" count="30">
        <n v="84794"/>
        <n v="108354"/>
        <n v="233983"/>
        <n v="347426"/>
        <n v="449824"/>
        <n v="403338"/>
        <n v="380697"/>
        <n v="269701"/>
        <n v="234012"/>
        <n v="199521"/>
        <n v="162869"/>
        <n v="125700"/>
        <n v="101991"/>
        <n v="123187"/>
        <n v="255621"/>
        <n v="364728"/>
        <n v="484252"/>
        <n v="451986"/>
        <n v="402639"/>
        <n v="275803"/>
        <n v="231220"/>
        <n v="175245"/>
        <n v="167387"/>
        <n v="117194"/>
        <n v="87343"/>
        <n v="109170"/>
        <n v="275204"/>
        <n v="369265"/>
        <n v="471247"/>
        <n v="519614"/>
      </sharedItems>
    </cacheField>
  </cacheFields>
</pivotCacheDefinition>
</file>

<file path=xl/pivotCache/pivotCacheDefinition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L$1:$BL$101" sheet="BSR底表-美国"/>
  </cacheSource>
  <cacheFields count="53">
    <cacheField name="组别" numFmtId="0">
      <sharedItems containsBlank="true" containsMixedTypes="true" containsNumber="true" containsInteger="true" minValue="1" maxValue="1" count="8">
        <n v="1"/>
        <s v="2-5"/>
        <s v="6-10"/>
        <s v="11-15"/>
        <s v="16-20"/>
        <m/>
        <s v="46 - 50"/>
        <s v="51 - 80"/>
      </sharedItems>
    </cacheField>
    <cacheField name="23年H1" numFmtId="0">
      <sharedItems containsString="false" containsBlank="true" containsNumber="true" containsInteger="true" minValue="3241" maxValue="59533" count="79">
        <n v="59533"/>
        <n v="36900"/>
        <n v="33573"/>
        <n v="29602"/>
        <n v="25886"/>
        <n v="22752"/>
        <n v="20984"/>
        <n v="20240"/>
        <n v="18330"/>
        <n v="17469"/>
        <n v="15926"/>
        <n v="14629"/>
        <n v="14305"/>
        <n v="14058"/>
        <n v="13463"/>
        <n v="13133"/>
        <n v="12349"/>
        <n v="12119"/>
        <n v="11736"/>
        <n v="11487"/>
        <n v="11144"/>
        <n v="10807"/>
        <n v="10441"/>
        <n v="10318"/>
        <n v="9821"/>
        <n v="9585"/>
        <n v="9114"/>
        <n v="8852"/>
        <n v="8646"/>
        <n v="8440"/>
        <n v="8183"/>
        <n v="7801"/>
        <n v="7480"/>
        <n v="7364"/>
        <n v="7215"/>
        <n v="6858"/>
        <n v="6755"/>
        <n v="6664"/>
        <n v="6545"/>
        <n v="6373"/>
        <n v="6206"/>
        <n v="6057"/>
        <n v="6022"/>
        <n v="5830"/>
        <n v="5613"/>
        <n v="5499"/>
        <n v="5311"/>
        <n v="5210"/>
        <n v="5060"/>
        <n v="4935"/>
        <n v="4864"/>
        <n v="4662"/>
        <n v="4577"/>
        <n v="4518"/>
        <n v="4484"/>
        <n v="4437"/>
        <n v="4303"/>
        <n v="4264"/>
        <n v="4186"/>
        <n v="4084"/>
        <n v="3983"/>
        <n v="3926"/>
        <n v="3882"/>
        <n v="3868"/>
        <n v="3821"/>
        <n v="3760"/>
        <n v="3725"/>
        <n v="3702"/>
        <n v="3653"/>
        <n v="3594"/>
        <n v="3569"/>
        <n v="3463"/>
        <n v="3435"/>
        <n v="3425"/>
        <n v="3328"/>
        <n v="3299"/>
        <n v="3285"/>
        <n v="3241"/>
        <m/>
      </sharedItems>
    </cacheField>
    <cacheField name="24年H1" numFmtId="0">
      <sharedItems containsString="false" containsBlank="true" containsNumber="true" containsInteger="true" minValue="4190" maxValue="83266" count="79">
        <n v="83266"/>
        <n v="53763"/>
        <n v="46474"/>
        <n v="38431"/>
        <n v="34106"/>
        <n v="32145"/>
        <n v="30354"/>
        <n v="28398"/>
        <n v="26494"/>
        <n v="24648"/>
        <n v="21938"/>
        <n v="19848"/>
        <n v="19092"/>
        <n v="17742"/>
        <n v="16434"/>
        <n v="15059"/>
        <n v="14461"/>
        <n v="13332"/>
        <n v="12772"/>
        <n v="12593"/>
        <n v="11985"/>
        <n v="11775"/>
        <n v="11566"/>
        <n v="11404"/>
        <n v="10935"/>
        <n v="10749"/>
        <n v="10357"/>
        <n v="9812"/>
        <n v="9443"/>
        <n v="9190"/>
        <n v="9059"/>
        <n v="8691"/>
        <n v="8543"/>
        <n v="8346"/>
        <n v="8063"/>
        <n v="7998"/>
        <n v="7872"/>
        <n v="7803"/>
        <n v="7671"/>
        <n v="7414"/>
        <n v="7311"/>
        <n v="7160"/>
        <n v="6973"/>
        <n v="6899"/>
        <n v="6654"/>
        <n v="6601"/>
        <n v="6526"/>
        <n v="6410"/>
        <n v="6211"/>
        <n v="6117"/>
        <n v="6050"/>
        <n v="6001"/>
        <n v="5912"/>
        <n v="5826"/>
        <n v="5738"/>
        <n v="5684"/>
        <n v="5648"/>
        <n v="5604"/>
        <n v="5465"/>
        <n v="5378"/>
        <n v="5285"/>
        <n v="5225"/>
        <n v="5187"/>
        <n v="5123"/>
        <n v="4959"/>
        <n v="4918"/>
        <n v="4849"/>
        <n v="4765"/>
        <n v="4716"/>
        <n v="4621"/>
        <n v="4506"/>
        <n v="4470"/>
        <n v="4422"/>
        <n v="4320"/>
        <n v="4285"/>
        <n v="4246"/>
        <n v="4212"/>
        <n v="4190"/>
        <m/>
      </sharedItems>
    </cacheField>
    <cacheField name="25年H1" numFmtId="0">
      <sharedItems containsString="false" containsBlank="true" containsNumber="true" containsInteger="true" minValue="4726" maxValue="86225" count="79">
        <n v="86225"/>
        <n v="58280"/>
        <n v="47715"/>
        <n v="35733"/>
        <n v="30900"/>
        <n v="28421"/>
        <n v="26404"/>
        <n v="24712"/>
        <n v="21993"/>
        <n v="21427"/>
        <n v="20507"/>
        <n v="18804"/>
        <n v="17416"/>
        <n v="16551"/>
        <n v="15813"/>
        <n v="15524"/>
        <n v="14624"/>
        <n v="13789"/>
        <n v="13266"/>
        <n v="12620"/>
        <n v="12261"/>
        <n v="12029"/>
        <n v="11653"/>
        <n v="11512"/>
        <n v="11361"/>
        <n v="11225"/>
        <n v="10813"/>
        <n v="10550"/>
        <n v="10469"/>
        <n v="10004"/>
        <n v="9774"/>
        <n v="9632"/>
        <n v="9365"/>
        <n v="9263"/>
        <n v="9043"/>
        <n v="8856"/>
        <n v="8758"/>
        <n v="8620"/>
        <n v="8387"/>
        <n v="8239"/>
        <n v="8111"/>
        <n v="7852"/>
        <n v="7727"/>
        <n v="7628"/>
        <n v="7526"/>
        <n v="7457"/>
        <n v="7381"/>
        <n v="7312"/>
        <n v="7098"/>
        <n v="7004"/>
        <n v="6886"/>
        <n v="6700"/>
        <n v="6517"/>
        <n v="6374"/>
        <n v="6258"/>
        <n v="6134"/>
        <n v="6036"/>
        <n v="5975"/>
        <n v="5922"/>
        <n v="5860"/>
        <n v="5785"/>
        <n v="5739"/>
        <n v="5644"/>
        <n v="5614"/>
        <n v="5476"/>
        <n v="5405"/>
        <n v="5294"/>
        <n v="5246"/>
        <n v="5133"/>
        <n v="5120"/>
        <n v="5041"/>
        <n v="5005"/>
        <n v="4988"/>
        <n v="4957"/>
        <n v="4906"/>
        <n v="4842"/>
        <n v="4774"/>
        <n v="4726"/>
        <m/>
      </sharedItems>
    </cacheField>
    <cacheField name="26年H1" numFmtId="0">
      <sharedItems containsString="false" containsBlank="true" containsNumber="true" containsInteger="true" minValue="4698" maxValue="67122" count="79">
        <n v="67122"/>
        <n v="59913"/>
        <n v="50777"/>
        <n v="37153"/>
        <n v="31817"/>
        <n v="25817"/>
        <n v="24242"/>
        <n v="22940"/>
        <n v="21608"/>
        <n v="20265"/>
        <n v="19006"/>
        <n v="18026"/>
        <n v="16957"/>
        <n v="16258"/>
        <n v="15345"/>
        <n v="15028"/>
        <n v="14683"/>
        <n v="13730"/>
        <n v="13161"/>
        <n v="12478"/>
        <n v="11823"/>
        <n v="11615"/>
        <n v="11136"/>
        <n v="10921"/>
        <n v="10626"/>
        <n v="10098"/>
        <n v="9849"/>
        <n v="9634"/>
        <n v="9381"/>
        <n v="9236"/>
        <n v="9029"/>
        <n v="8900"/>
        <n v="8672"/>
        <n v="8525"/>
        <n v="8405"/>
        <n v="8177"/>
        <n v="7923"/>
        <n v="7770"/>
        <n v="7675"/>
        <n v="7539"/>
        <n v="7428"/>
        <n v="7340"/>
        <n v="7168"/>
        <n v="6982"/>
        <n v="6938"/>
        <n v="6864"/>
        <n v="6799"/>
        <n v="6745"/>
        <n v="6634"/>
        <n v="6512"/>
        <n v="6463"/>
        <n v="6324"/>
        <n v="6254"/>
        <n v="6166"/>
        <n v="6120"/>
        <n v="6080"/>
        <n v="6013"/>
        <n v="5930"/>
        <n v="5897"/>
        <n v="5844"/>
        <n v="5811"/>
        <n v="5740"/>
        <n v="5625"/>
        <n v="5565"/>
        <n v="5469"/>
        <n v="5287"/>
        <n v="5250"/>
        <n v="5215"/>
        <n v="5180"/>
        <n v="5118"/>
        <n v="5080"/>
        <n v="5002"/>
        <n v="4936"/>
        <n v="4915"/>
        <n v="4872"/>
        <n v="4825"/>
        <n v="4727"/>
        <n v="4698"/>
        <m/>
      </sharedItems>
    </cacheField>
    <cacheField name="排名（销量）" numFmtId="0">
      <sharedItems containsSemiMixedTypes="false" containsString="false" containsNumber="true" containsInteger="true" minValue="1" maxValue="100" count="0"/>
    </cacheField>
    <cacheField name="组别-2" numFmtId="0">
      <sharedItems containsBlank="true" count="0"/>
    </cacheField>
    <cacheField name="202206" numFmtId="0">
      <sharedItems containsSemiMixedTypes="false" containsString="false" containsNumber="true" containsInteger="true" minValue="235" maxValue="10329" count="0"/>
    </cacheField>
    <cacheField name="202207" numFmtId="0">
      <sharedItems containsSemiMixedTypes="false" containsString="false" containsNumber="true" containsInteger="true" minValue="276" maxValue="13063" count="0"/>
    </cacheField>
    <cacheField name="202208" numFmtId="0">
      <sharedItems containsSemiMixedTypes="false" containsString="false" containsNumber="true" containsInteger="true" minValue="251" maxValue="9606" count="0"/>
    </cacheField>
    <cacheField name="202209" numFmtId="0">
      <sharedItems containsSemiMixedTypes="false" containsString="false" containsNumber="true" containsInteger="true" minValue="93" maxValue="7304" count="0"/>
    </cacheField>
    <cacheField name="202210" numFmtId="0">
      <sharedItems containsSemiMixedTypes="false" containsString="false" containsNumber="true" containsInteger="true" minValue="146" maxValue="3591" count="0"/>
    </cacheField>
    <cacheField name="202211" numFmtId="0">
      <sharedItems containsSemiMixedTypes="false" containsString="false" containsNumber="true" containsInteger="true" minValue="134" maxValue="6535" count="0"/>
    </cacheField>
    <cacheField name="202212" numFmtId="0">
      <sharedItems containsSemiMixedTypes="false" containsString="false" containsNumber="true" containsInteger="true" minValue="122" maxValue="7124" count="0"/>
    </cacheField>
    <cacheField name="202301" numFmtId="0">
      <sharedItems containsSemiMixedTypes="false" containsString="false" containsNumber="true" containsInteger="true" minValue="144" maxValue="6690" count="0"/>
    </cacheField>
    <cacheField name="202302" numFmtId="0">
      <sharedItems containsSemiMixedTypes="false" containsString="false" containsNumber="true" containsInteger="true" minValue="195" maxValue="7038" count="0"/>
    </cacheField>
    <cacheField name="202303" numFmtId="0">
      <sharedItems containsSemiMixedTypes="false" containsString="false" containsNumber="true" containsInteger="true" minValue="239" maxValue="5835" count="0"/>
    </cacheField>
    <cacheField name="202304" numFmtId="0">
      <sharedItems containsSemiMixedTypes="false" containsString="false" containsNumber="true" containsInteger="true" minValue="523" maxValue="9660" count="0"/>
    </cacheField>
    <cacheField name="202305" numFmtId="0">
      <sharedItems containsSemiMixedTypes="false" containsString="false" containsNumber="true" containsInteger="true" minValue="732" maxValue="14225" count="0"/>
    </cacheField>
    <cacheField name="202306" numFmtId="0">
      <sharedItems containsSemiMixedTypes="false" containsString="false" containsNumber="true" containsInteger="true" minValue="632" maxValue="16085" count="0"/>
    </cacheField>
    <cacheField name="202307" numFmtId="0">
      <sharedItems containsSemiMixedTypes="false" containsString="false" containsNumber="true" containsInteger="true" minValue="738" maxValue="14839" count="0"/>
    </cacheField>
    <cacheField name="202308" numFmtId="0">
      <sharedItems containsSemiMixedTypes="false" containsString="false" containsNumber="true" containsInteger="true" minValue="471" maxValue="13704" count="0"/>
    </cacheField>
    <cacheField name="202309" numFmtId="0">
      <sharedItems containsSemiMixedTypes="false" containsString="false" containsNumber="true" containsInteger="true" minValue="432" maxValue="10853" count="0"/>
    </cacheField>
    <cacheField name="202310" numFmtId="0">
      <sharedItems containsSemiMixedTypes="false" containsString="false" containsNumber="true" containsInteger="true" minValue="384" maxValue="9774" count="0"/>
    </cacheField>
    <cacheField name="202311" numFmtId="0">
      <sharedItems containsSemiMixedTypes="false" containsString="false" containsNumber="true" containsInteger="true" minValue="266" maxValue="12051" count="0"/>
    </cacheField>
    <cacheField name="202312" numFmtId="0">
      <sharedItems containsSemiMixedTypes="false" containsString="false" containsNumber="true" containsInteger="true" minValue="205" maxValue="11144" count="0"/>
    </cacheField>
    <cacheField name="202401" numFmtId="0">
      <sharedItems containsSemiMixedTypes="false" containsString="false" containsNumber="true" containsInteger="true" minValue="176" maxValue="11440" count="0"/>
    </cacheField>
    <cacheField name="202402" numFmtId="0">
      <sharedItems containsSemiMixedTypes="false" containsString="false" containsNumber="true" containsInteger="true" minValue="269" maxValue="13010" count="0"/>
    </cacheField>
    <cacheField name="202403" numFmtId="0">
      <sharedItems containsSemiMixedTypes="false" containsString="false" containsNumber="true" containsInteger="true" minValue="458" maxValue="14028" count="0"/>
    </cacheField>
    <cacheField name="202404" numFmtId="0">
      <sharedItems containsSemiMixedTypes="false" containsString="false" containsNumber="true" containsInteger="true" minValue="689" maxValue="11367" count="0"/>
    </cacheField>
    <cacheField name="202405" numFmtId="0">
      <sharedItems containsSemiMixedTypes="false" containsString="false" containsNumber="true" containsInteger="true" minValue="831" maxValue="16711" count="0"/>
    </cacheField>
    <cacheField name="202406" numFmtId="0">
      <sharedItems containsSemiMixedTypes="false" containsString="false" containsNumber="true" containsInteger="true" minValue="798" maxValue="16710" count="0"/>
    </cacheField>
    <cacheField name="202407" numFmtId="0">
      <sharedItems containsSemiMixedTypes="false" containsString="false" containsNumber="true" containsInteger="true" minValue="650" maxValue="19819" count="0"/>
    </cacheField>
    <cacheField name="202408" numFmtId="0">
      <sharedItems containsSemiMixedTypes="false" containsString="false" containsNumber="true" containsInteger="true" minValue="541" maxValue="21729" count="0"/>
    </cacheField>
    <cacheField name="202409" numFmtId="0">
      <sharedItems containsSemiMixedTypes="false" containsString="false" containsNumber="true" containsInteger="true" minValue="431" maxValue="16530" count="0"/>
    </cacheField>
    <cacheField name="202410" numFmtId="0">
      <sharedItems containsSemiMixedTypes="false" containsString="false" containsNumber="true" containsInteger="true" minValue="393" maxValue="14683" count="0"/>
    </cacheField>
    <cacheField name="202411" numFmtId="0">
      <sharedItems containsSemiMixedTypes="false" containsString="false" containsNumber="true" containsInteger="true" minValue="318" maxValue="16180" count="0"/>
    </cacheField>
    <cacheField name="202412" numFmtId="0">
      <sharedItems containsSemiMixedTypes="false" containsString="false" containsNumber="true" containsInteger="true" minValue="219" maxValue="11201" count="0"/>
    </cacheField>
    <cacheField name="202501" numFmtId="0">
      <sharedItems containsSemiMixedTypes="false" containsString="false" containsNumber="true" containsInteger="true" minValue="204" maxValue="9495" count="0"/>
    </cacheField>
    <cacheField name="202502" numFmtId="0">
      <sharedItems containsSemiMixedTypes="false" containsString="false" containsNumber="true" containsInteger="true" minValue="254" maxValue="9689" count="0"/>
    </cacheField>
    <cacheField name="202503" numFmtId="0">
      <sharedItems containsSemiMixedTypes="false" containsString="false" containsNumber="true" containsInteger="true" minValue="497" maxValue="11718" count="0"/>
    </cacheField>
    <cacheField name="202504" numFmtId="0">
      <sharedItems containsSemiMixedTypes="false" containsString="false" containsNumber="true" containsInteger="true" minValue="773" maxValue="13987" count="0"/>
    </cacheField>
    <cacheField name="202505" numFmtId="0">
      <sharedItems containsSemiMixedTypes="false" containsString="false" containsNumber="true" containsInteger="true" minValue="1039" maxValue="18153" count="0"/>
    </cacheField>
    <cacheField name="202506" numFmtId="0">
      <sharedItems containsSemiMixedTypes="false" containsString="false" containsNumber="true" containsInteger="true" minValue="1006" maxValue="23183" count="0"/>
    </cacheField>
    <cacheField name="202507" numFmtId="0">
      <sharedItems containsSemiMixedTypes="false" containsString="false" containsNumber="true" containsInteger="true" minValue="831" maxValue="17933" count="0"/>
    </cacheField>
    <cacheField name="202508" numFmtId="0">
      <sharedItems containsSemiMixedTypes="false" containsString="false" containsNumber="true" containsInteger="true" minValue="606" maxValue="14686" count="0"/>
    </cacheField>
    <cacheField name="202509" numFmtId="0">
      <sharedItems containsSemiMixedTypes="false" containsString="false" containsNumber="true" containsInteger="true" minValue="504" maxValue="9515" count="0"/>
    </cacheField>
    <cacheField name="202510" numFmtId="0">
      <sharedItems containsSemiMixedTypes="false" containsString="false" containsNumber="true" containsInteger="true" minValue="401" maxValue="6831" count="0"/>
    </cacheField>
    <cacheField name="202511" numFmtId="0">
      <sharedItems containsSemiMixedTypes="false" containsString="false" containsNumber="true" containsInteger="true" minValue="385" maxValue="8648" count="0"/>
    </cacheField>
    <cacheField name="202512" numFmtId="0">
      <sharedItems containsSemiMixedTypes="false" containsString="false" containsNumber="true" containsInteger="true" minValue="275" maxValue="3987" count="0"/>
    </cacheField>
    <cacheField name="202601" numFmtId="0">
      <sharedItems containsSemiMixedTypes="false" containsString="false" containsNumber="true" containsInteger="true" minValue="213" maxValue="4109" count="0"/>
    </cacheField>
    <cacheField name="202602" numFmtId="0">
      <sharedItems containsSemiMixedTypes="false" containsString="false" containsNumber="true" containsInteger="true" minValue="256" maxValue="5255" count="0"/>
    </cacheField>
    <cacheField name="202603" numFmtId="0">
      <sharedItems containsSemiMixedTypes="false" containsString="false" containsNumber="true" containsInteger="true" minValue="587" maxValue="11564" count="0"/>
    </cacheField>
  </cacheFields>
</pivotCacheDefinition>
</file>

<file path=xl/pivotCache/pivotCacheDefinition3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K$1:$AU$102" sheet="BSR底表-加拿大"/>
  </cacheSource>
  <cacheFields count="37">
    <cacheField name="组别" numFmtId="0">
      <sharedItems containsBlank="true" containsMixedTypes="true" containsNumber="true" containsInteger="true" minValue="1" maxValue="1" count="8">
        <n v="1"/>
        <s v="2-5"/>
        <s v="6-10"/>
        <s v="11-15"/>
        <s v="16-20"/>
        <m/>
        <s v="46 - 50"/>
        <s v="51 - 80"/>
      </sharedItems>
    </cacheField>
    <cacheField name="24年H1" numFmtId="0">
      <sharedItems containsSemiMixedTypes="false" containsString="false" containsNumber="true" containsInteger="true" minValue="8" maxValue="40947" count="94">
        <n v="4415"/>
        <n v="2921"/>
        <n v="2425"/>
        <n v="2221"/>
        <n v="1930"/>
        <n v="1649"/>
        <n v="1421"/>
        <n v="1281"/>
        <n v="1248"/>
        <n v="1164"/>
        <n v="1073"/>
        <n v="1028"/>
        <n v="972"/>
        <n v="940"/>
        <n v="892"/>
        <n v="779"/>
        <n v="751"/>
        <n v="724"/>
        <n v="688"/>
        <n v="632"/>
        <n v="597"/>
        <n v="549"/>
        <n v="540"/>
        <n v="508"/>
        <n v="485"/>
        <n v="462"/>
        <n v="454"/>
        <n v="441"/>
        <n v="418"/>
        <n v="401"/>
        <n v="377"/>
        <n v="367"/>
        <n v="354"/>
        <n v="332"/>
        <n v="318"/>
        <n v="293"/>
        <n v="273"/>
        <n v="268"/>
        <n v="256"/>
        <n v="236"/>
        <n v="226"/>
        <n v="208"/>
        <n v="194"/>
        <n v="184"/>
        <n v="164"/>
        <n v="155"/>
        <n v="149"/>
        <n v="138"/>
        <n v="129"/>
        <n v="128"/>
        <n v="117"/>
        <n v="110"/>
        <n v="107"/>
        <n v="105"/>
        <n v="102"/>
        <n v="96"/>
        <n v="94"/>
        <n v="90"/>
        <n v="85"/>
        <n v="76"/>
        <n v="73"/>
        <n v="68"/>
        <n v="65"/>
        <n v="61"/>
        <n v="58"/>
        <n v="56"/>
        <n v="51"/>
        <n v="49"/>
        <n v="46"/>
        <n v="44"/>
        <n v="42"/>
        <n v="41"/>
        <n v="39"/>
        <n v="37"/>
        <n v="34"/>
        <n v="33"/>
        <n v="32"/>
        <n v="29"/>
        <n v="28"/>
        <n v="27"/>
        <n v="25"/>
        <n v="23"/>
        <n v="22"/>
        <n v="18"/>
        <n v="17"/>
        <n v="16"/>
        <n v="15"/>
        <n v="14"/>
        <n v="12"/>
        <n v="11"/>
        <n v="10"/>
        <n v="9"/>
        <n v="8"/>
        <n v="40947"/>
      </sharedItems>
    </cacheField>
    <cacheField name="25年H1" numFmtId="0">
      <sharedItems containsSemiMixedTypes="false" containsString="false" containsNumber="true" containsInteger="true" minValue="65" maxValue="91168" count="100">
        <n v="7428"/>
        <n v="5861"/>
        <n v="4866"/>
        <n v="4342"/>
        <n v="3797"/>
        <n v="3175"/>
        <n v="2936"/>
        <n v="2683"/>
        <n v="2487"/>
        <n v="2427"/>
        <n v="2311"/>
        <n v="2157"/>
        <n v="2048"/>
        <n v="1973"/>
        <n v="1914"/>
        <n v="1868"/>
        <n v="1813"/>
        <n v="1654"/>
        <n v="1573"/>
        <n v="1538"/>
        <n v="1468"/>
        <n v="1360"/>
        <n v="1306"/>
        <n v="1222"/>
        <n v="1146"/>
        <n v="1111"/>
        <n v="1006"/>
        <n v="972"/>
        <n v="925"/>
        <n v="919"/>
        <n v="890"/>
        <n v="852"/>
        <n v="818"/>
        <n v="781"/>
        <n v="768"/>
        <n v="701"/>
        <n v="677"/>
        <n v="648"/>
        <n v="637"/>
        <n v="590"/>
        <n v="557"/>
        <n v="540"/>
        <n v="512"/>
        <n v="496"/>
        <n v="480"/>
        <n v="470"/>
        <n v="462"/>
        <n v="442"/>
        <n v="428"/>
        <n v="402"/>
        <n v="377"/>
        <n v="365"/>
        <n v="346"/>
        <n v="336"/>
        <n v="325"/>
        <n v="309"/>
        <n v="299"/>
        <n v="294"/>
        <n v="288"/>
        <n v="275"/>
        <n v="266"/>
        <n v="259"/>
        <n v="245"/>
        <n v="236"/>
        <n v="220"/>
        <n v="208"/>
        <n v="202"/>
        <n v="195"/>
        <n v="191"/>
        <n v="184"/>
        <n v="176"/>
        <n v="173"/>
        <n v="167"/>
        <n v="152"/>
        <n v="147"/>
        <n v="144"/>
        <n v="137"/>
        <n v="135"/>
        <n v="129"/>
        <n v="124"/>
        <n v="122"/>
        <n v="114"/>
        <n v="112"/>
        <n v="110"/>
        <n v="108"/>
        <n v="102"/>
        <n v="100"/>
        <n v="95"/>
        <n v="90"/>
        <n v="87"/>
        <n v="86"/>
        <n v="82"/>
        <n v="81"/>
        <n v="78"/>
        <n v="75"/>
        <n v="73"/>
        <n v="69"/>
        <n v="68"/>
        <n v="65"/>
        <n v="91168"/>
      </sharedItems>
    </cacheField>
    <cacheField name="26年H1" numFmtId="0">
      <sharedItems containsSemiMixedTypes="false" containsString="false" containsNumber="true" containsInteger="true" minValue="86" maxValue="107553" count="101">
        <n v="7089"/>
        <n v="6076"/>
        <n v="5379"/>
        <n v="4368"/>
        <n v="3856"/>
        <n v="3598"/>
        <n v="3271"/>
        <n v="2944"/>
        <n v="2787"/>
        <n v="2712"/>
        <n v="2579"/>
        <n v="2456"/>
        <n v="2395"/>
        <n v="2328"/>
        <n v="2242"/>
        <n v="2028"/>
        <n v="1886"/>
        <n v="1825"/>
        <n v="1779"/>
        <n v="1665"/>
        <n v="1637"/>
        <n v="1594"/>
        <n v="1537"/>
        <n v="1500"/>
        <n v="1470"/>
        <n v="1386"/>
        <n v="1356"/>
        <n v="1322"/>
        <n v="1241"/>
        <n v="1187"/>
        <n v="1173"/>
        <n v="1156"/>
        <n v="1100"/>
        <n v="1065"/>
        <n v="1027"/>
        <n v="985"/>
        <n v="953"/>
        <n v="936"/>
        <n v="887"/>
        <n v="852"/>
        <n v="838"/>
        <n v="794"/>
        <n v="784"/>
        <n v="760"/>
        <n v="729"/>
        <n v="694"/>
        <n v="673"/>
        <n v="655"/>
        <n v="620"/>
        <n v="604"/>
        <n v="583"/>
        <n v="545"/>
        <n v="529"/>
        <n v="512"/>
        <n v="495"/>
        <n v="456"/>
        <n v="440"/>
        <n v="418"/>
        <n v="403"/>
        <n v="389"/>
        <n v="377"/>
        <n v="366"/>
        <n v="357"/>
        <n v="340"/>
        <n v="299"/>
        <n v="290"/>
        <n v="283"/>
        <n v="272"/>
        <n v="263"/>
        <n v="259"/>
        <n v="253"/>
        <n v="245"/>
        <n v="241"/>
        <n v="237"/>
        <n v="233"/>
        <n v="220"/>
        <n v="213"/>
        <n v="206"/>
        <n v="199"/>
        <n v="196"/>
        <n v="184"/>
        <n v="179"/>
        <n v="172"/>
        <n v="165"/>
        <n v="159"/>
        <n v="155"/>
        <n v="152"/>
        <n v="146"/>
        <n v="140"/>
        <n v="136"/>
        <n v="131"/>
        <n v="123"/>
        <n v="117"/>
        <n v="112"/>
        <n v="109"/>
        <n v="106"/>
        <n v="100"/>
        <n v="96"/>
        <n v="88"/>
        <n v="86"/>
        <n v="107553"/>
      </sharedItems>
    </cacheField>
    <cacheField name="排名" numFmtId="0">
      <sharedItems containsMixedTypes="true" containsNumber="true" containsInteger="true" minValue="1" maxValue="100" count="0"/>
    </cacheField>
    <cacheField name="2024-01" numFmtId="0">
      <sharedItems containsString="false" containsBlank="true" containsNumber="true" containsInteger="true" minValue="0" maxValue="383" count="0"/>
    </cacheField>
    <cacheField name="2024-02" numFmtId="0">
      <sharedItems containsSemiMixedTypes="false" containsString="false" containsNumber="true" containsInteger="true" minValue="0" maxValue="751" count="0"/>
    </cacheField>
    <cacheField name="2024-03" numFmtId="0">
      <sharedItems containsString="false" containsBlank="true" containsNumber="true" containsInteger="true" minValue="0" maxValue="1766" count="0"/>
    </cacheField>
    <cacheField name="2024-04" numFmtId="0">
      <sharedItems containsSemiMixedTypes="false" containsString="false" containsNumber="true" containsInteger="true" minValue="1" maxValue="7124" count="0"/>
    </cacheField>
    <cacheField name="2024-05" numFmtId="0">
      <sharedItems containsSemiMixedTypes="false" containsString="false" containsNumber="true" containsInteger="true" minValue="1" maxValue="13700" count="0"/>
    </cacheField>
    <cacheField name="2024-06" numFmtId="0">
      <sharedItems containsSemiMixedTypes="false" containsString="false" containsNumber="true" containsInteger="true" minValue="6" maxValue="17223" count="0"/>
    </cacheField>
    <cacheField name="2024-07" numFmtId="0">
      <sharedItems containsSemiMixedTypes="false" containsString="false" containsNumber="true" containsInteger="true" minValue="17" maxValue="15318" count="0"/>
    </cacheField>
    <cacheField name="2024-08" numFmtId="0">
      <sharedItems containsSemiMixedTypes="false" containsString="false" containsNumber="true" containsInteger="true" minValue="11" maxValue="10099" count="0"/>
    </cacheField>
    <cacheField name="2024-09" numFmtId="0">
      <sharedItems containsSemiMixedTypes="false" containsString="false" containsNumber="true" containsInteger="true" minValue="8" maxValue="6218" count="0"/>
    </cacheField>
    <cacheField name="2024-10" numFmtId="0">
      <sharedItems containsSemiMixedTypes="false" containsString="false" containsNumber="true" containsInteger="true" minValue="3" maxValue="3934" count="0"/>
    </cacheField>
    <cacheField name="2024-11" numFmtId="0">
      <sharedItems containsSemiMixedTypes="false" containsString="false" containsNumber="true" containsInteger="true" minValue="3" maxValue="2952" count="0"/>
    </cacheField>
    <cacheField name="2024-12" numFmtId="0">
      <sharedItems containsString="false" containsBlank="true" containsNumber="true" containsInteger="true" minValue="0" maxValue="1727" count="0"/>
    </cacheField>
    <cacheField name="2025-01" numFmtId="0">
      <sharedItems containsSemiMixedTypes="false" containsString="false" containsNumber="true" containsInteger="true" minValue="0" maxValue="1930" count="0"/>
    </cacheField>
    <cacheField name="2025-02" numFmtId="0">
      <sharedItems containsSemiMixedTypes="false" containsString="false" containsNumber="true" containsInteger="true" minValue="1" maxValue="3127" count="0"/>
    </cacheField>
    <cacheField name="2025-03" numFmtId="0">
      <sharedItems containsSemiMixedTypes="false" containsString="false" containsNumber="true" containsInteger="true" minValue="2" maxValue="7279" count="0"/>
    </cacheField>
    <cacheField name="2025-04" numFmtId="0">
      <sharedItems containsSemiMixedTypes="false" containsString="false" containsNumber="true" containsInteger="true" minValue="11" maxValue="18656" count="0"/>
    </cacheField>
    <cacheField name="2025-05" numFmtId="0">
      <sharedItems containsSemiMixedTypes="false" containsString="false" containsNumber="true" containsInteger="true" minValue="34" maxValue="30996" count="0"/>
    </cacheField>
    <cacheField name="2025-06" numFmtId="0">
      <sharedItems containsSemiMixedTypes="false" containsString="false" containsNumber="true" containsInteger="true" minValue="17" maxValue="29180" count="0"/>
    </cacheField>
    <cacheField name="2025-07" numFmtId="0">
      <sharedItems containsSemiMixedTypes="false" containsString="false" containsNumber="true" containsInteger="true" minValue="24" maxValue="29992" count="0"/>
    </cacheField>
    <cacheField name="2025-08" numFmtId="0">
      <sharedItems containsSemiMixedTypes="false" containsString="false" containsNumber="true" containsInteger="true" minValue="3" maxValue="20714" count="0"/>
    </cacheField>
    <cacheField name="2025-09" numFmtId="0">
      <sharedItems containsSemiMixedTypes="false" containsString="false" containsNumber="true" containsInteger="true" minValue="3" maxValue="20820" count="0"/>
    </cacheField>
    <cacheField name="2025-10" numFmtId="0">
      <sharedItems containsSemiMixedTypes="false" containsString="false" containsNumber="true" containsInteger="true" minValue="6" maxValue="8516" count="0"/>
    </cacheField>
    <cacheField name="2025-11" numFmtId="0">
      <sharedItems containsSemiMixedTypes="false" containsString="false" containsNumber="true" containsInteger="true" minValue="0" maxValue="5725" count="0"/>
    </cacheField>
    <cacheField name="2025-12" numFmtId="0">
      <sharedItems containsString="false" containsBlank="true" containsNumber="true" containsInteger="true" minValue="0" maxValue="3917" count="0"/>
    </cacheField>
    <cacheField name="2026-01" numFmtId="0">
      <sharedItems containsString="false" containsBlank="true" containsNumber="true" containsInteger="true" minValue="1" maxValue="3271" count="0"/>
    </cacheField>
    <cacheField name="2026-02" numFmtId="0">
      <sharedItems containsString="false" containsBlank="true" containsNumber="true" containsInteger="true" minValue="1" maxValue="3985" count="0"/>
    </cacheField>
    <cacheField name="2026-03" numFmtId="0">
      <sharedItems containsString="false" containsBlank="true" containsNumber="true" containsInteger="true" minValue="1" maxValue="8218" count="0"/>
    </cacheField>
    <cacheField name="2026-04" numFmtId="0">
      <sharedItems containsSemiMixedTypes="false" containsString="false" containsNumber="true" containsInteger="true" minValue="3" maxValue="18958" count="0"/>
    </cacheField>
    <cacheField name="2026-05" numFmtId="0">
      <sharedItems containsSemiMixedTypes="false" containsString="false" containsNumber="true" containsInteger="true" minValue="66" maxValue="48114" count="0"/>
    </cacheField>
    <cacheField name="2026-06" numFmtId="0">
      <sharedItems containsSemiMixedTypes="false" containsString="false" containsNumber="true" containsInteger="true" minValue="66" maxValue="41857" count="0"/>
    </cacheField>
    <cacheField name="2026-07" numFmtId="0">
      <sharedItems containsSemiMixedTypes="false" containsString="false" containsNumber="true" containsInteger="true" minValue="17" maxValue="25007" count="0"/>
    </cacheField>
    <cacheField name="总计" numFmtId="0">
      <sharedItems containsSemiMixedTypes="false" containsString="false" containsNumber="true" containsInteger="true" minValue="303" maxValue="411457" count="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_rels/pivotTable2.xml.rels><?xml version="1.0" encoding="UTF-8" standalone="yes"?>
<Relationships xmlns="http://schemas.openxmlformats.org/package/2006/relationships"><Relationship Id="rId1" Target="../pivotCache/pivotCacheDefinition2.xml" Type="http://schemas.openxmlformats.org/officeDocument/2006/relationships/pivotCacheDefinition"></Relationship></Relationships>
</file>

<file path=xl/pivotTables/_rels/pivotTable3.xml.rels><?xml version="1.0" encoding="UTF-8" standalone="yes"?>
<Relationships xmlns="http://schemas.openxmlformats.org/package/2006/relationships"><Relationship Id="rId1" Target="../pivotCache/pivotCacheDefinition3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I$1:$P$5" firstHeaderRow="1" firstDataRow="1" firstDataCol="1"/>
  <pivotFields count="5">
    <pivotField compact="false" outline="false" showAll="false"/>
    <pivotField compact="false" outline="false" showAll="false"/>
    <pivotField axis="axisRow" compact="false" outline="false" showAll="false">
      <items count="5">
        <item x="0"/>
        <item h="true" x="1"/>
        <item h="true" x="2"/>
        <item x="3"/>
        <item t="default"/>
      </items>
    </pivotField>
    <pivotField axis="axisCol" compact="false" outline="false" showAll="false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true" compact="false" outline="false" showAll="false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 count="1">
    <field x="2"/>
  </rowFields>
  <colFields count="1">
    <field x="3"/>
  </colFields>
  <dataFields count="1">
    <dataField name="求和项:销量" fld="4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 Table2" cacheId="2" dataCaption="值" updatedVersion="3" minRefreshableVersion="3" useAutoFormatting="true" createdVersion="3" compact="false" compactData="false">
  <location ref="$A$1:$E$10" firstHeaderRow="1" firstDataRow="1" firstDataCol="1"/>
  <pivotFields count="53">
    <pivotField axis="axisRow" compact="false" outline="false" showAll="false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true" compact="false" outline="false" showAll="false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dataField="true" compact="false" outline="false" showAll="false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dataField="true" compact="false" outline="false" showAll="false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dataField="true" compact="false" outline="false" showAll="false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0"/>
  </rowFields>
  <colFields count="1">
    <field x="-2"/>
  </colFields>
  <dataFields count="4">
    <dataField name="求和项:23年H1" fld="1" subtotal="sum"/>
    <dataField name="求和项:24年H1" fld="2" subtotal="sum"/>
    <dataField name="求和项:25年H1" fld="3" subtotal="sum"/>
    <dataField name="求和项:26年H1" fld="4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 Table3" cacheId="3" dataCaption="值" updatedVersion="3" minRefreshableVersion="3" useAutoFormatting="true" createdVersion="3" compact="false" compactData="false">
  <location ref="$A$1:$D$10" firstHeaderRow="1" firstDataRow="1" firstDataCol="1"/>
  <pivotFields count="37">
    <pivotField axis="axisRow" compact="false" outline="false" showAll="false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true" compact="false" outline="false" showAll="false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dataField="true" compact="false" outline="false" showAll="false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true" compact="false" outline="false" showAll="false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0"/>
  </rowFields>
  <colFields count="1">
    <field x="-2"/>
  </colFields>
  <dataFields count="3">
    <dataField name="求和项:24年H1" fld="1" subtotal="sum"/>
    <dataField name="求和项:25年H1" fld="2" subtotal="sum"/>
    <dataField name="求和项:26年H1" fld="3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/Relationships>
</file>

<file path=xl/worksheets/_rels/sheet11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/Relationships>
</file>

<file path=xl/worksheets/_rels/sheet12.xml.rels><?xml version="1.0" encoding="UTF-8" standalone="yes"?>
<Relationships xmlns="http://schemas.openxmlformats.org/package/2006/relationships"><Relationship Id="rId1" Target="../drawings/vmlDrawing2.vml" Type="http://schemas.openxmlformats.org/officeDocument/2006/relationships/vmlDrawing"></Relationship><Relationship Id="rId2" Target="../comments2.xml" Type="http://schemas.openxmlformats.org/officeDocument/2006/relationships/comments"></Relationship><Relationship Id="rId3" Target="https://www.amazon.com/Pauwer-Outdoor-Waterproof-Reversible-Backyard/dp/B0CPLVVC17/ref=zg_bs_g_16509767011_d_sccl_16/133-9854572-3617550?th=1" Type="http://schemas.openxmlformats.org/officeDocument/2006/relationships/hyperlink" TargetMode="External"></Relationship><Relationship Id="rId4" Target="https://www.amazon.com/OLANLY-Waterproof-Outdoor-Reversible-Backyard/dp/B0DCRKX4M2/ref=zg_bs_g_16509767011_d_sccl_94/133-9854572-3617550?th=1" Type="http://schemas.openxmlformats.org/officeDocument/2006/relationships/hyperlink" TargetMode="External"></Relationship><Relationship Id="rId5" Target="https://www.amazon.com/dp/B0DCRL8TGG?th=1" Type="http://schemas.openxmlformats.org/officeDocument/2006/relationships/hyperlink" TargetMode="External"></Relationship><Relationship Id="rId6" Target="https://www.amazon.ca/dp/B0DN9XQZ2C?th=1" Type="http://schemas.openxmlformats.org/officeDocument/2006/relationships/hyperlink" TargetMode="External"></Relationship><Relationship Id="rId7" Target="https://www.amazon.com/HEBE-Fatigue-Cushioned-Standing-Waterproof/dp/B08PVCD9NQ/ref=zg_bs_g_644050011_d_sccl_35/139-7976076-6503513?psc=1" Type="http://schemas.openxmlformats.org/officeDocument/2006/relationships/hyperlink" TargetMode="External"></Relationship><Relationship Id="rId8" Target="https://www.amazon.com/HUGEAR-Plastic-Waterproof-Reversible-Entryance/dp/B0DJFP72J9/ref=sr_1_1?crid=34BA5B8QHXP10&amp;dib=eyJ2IjoiMSJ9.JasgdCx2M29KtVcYtUbghw.9r_ADXSRElNSpoVIWUpRcUeDOBlB-8607ZRKA1cXup8&amp;dib_tag=se&amp;keywords=B0DJFP72J9&amp;nsdOptOutParam=true&amp;qid=1763449161&amp;s=home-garden&amp;sprefix=,garden,817&amp;sr=1-1&amp;th=1" Type="http://schemas.openxmlformats.org/officeDocument/2006/relationships/hyperlink" TargetMode="External"></Relationship><Relationship Id="rId9" Target="https://www.amazon.com/WILDROOTS-Plastic-Resistant-Waterproof-Reversible/dp/B0DX1VMGNB/ref=zg_bs_g_16509767011_d_sccl_29/141-5410386-7383464?th=1" Type="http://schemas.openxmlformats.org/officeDocument/2006/relationships/hyperlink" TargetMode="External"></Relationship><Relationship Id="rId10" Target="https://www.amazon.ca/dp/B0DJ2Q4KTZ?th=1" Type="http://schemas.openxmlformats.org/officeDocument/2006/relationships/hyperlink" TargetMode="External"></Relationship><Relationship Id="rId11" Target="https://www.amazon.ca/Cekene-Waterproof-Reversible-Lightweight-Portable/dp/B0DK2WH5N9/ref=zg_bs_g_37288342011_d_sccl_44/135-3496690-1344336?th=1" Type="http://schemas.openxmlformats.org/officeDocument/2006/relationships/hyperlink" TargetMode="External"></Relationship><Relationship Id="rId12" Target="https://www.amazon.com/Outdoor-Clearance-Waterproof-Camping-Reversible/dp/B09PH7HRQG/ref=zg_bs_g_16509767011_d_sccl_18/141-5410386-7383464?th=1" Type="http://schemas.openxmlformats.org/officeDocument/2006/relationships/hyperlink" TargetMode="External"></Relationship><Relationship Id="rId13" Target="https://www.amazon.com/MontVoo-Rug-Waterproof-Reversible-Backyard-Farmhouse/dp/B0DHXDG87B/ref=zg_bs_g_16509767011_d_sccl_26/136-5722474-7668953?psc=1" Type="http://schemas.openxmlformats.org/officeDocument/2006/relationships/hyperlink" TargetMode="External"></Relationship><Relationship Id="rId14" Target="https://www.amazon.ca/LOKHOM-Outdoor-Reversible-Plastic-Waterproof/dp/B0CNTDMVMD/ref=zg_bs_g_37288342011_d_sccl_49/135-3496690-1344336?th=1" Type="http://schemas.openxmlformats.org/officeDocument/2006/relationships/hyperlink" TargetMode="External"></Relationship><Relationship Id="rId15" Target="https://www.amazon.ca/dp/B0CLNRF9P3?th=1" Type="http://schemas.openxmlformats.org/officeDocument/2006/relationships/hyperlink" TargetMode="External"></Relationship><Relationship Id="rId16" Target="https://www.amazon.com/SAND-MINE-Reversible-Outdoors-Backyard/dp/B091YMYV7Q/ref=zg_bs_g_16509767011_d_sccl_4/139-0019634-8191247?th=1" Type="http://schemas.openxmlformats.org/officeDocument/2006/relationships/hyperlink" TargetMode="External"></Relationship><Relationship Id="rId17" Target="https://www.amazon.com/dp/B0DBLXTZ2H?th=1" Type="http://schemas.openxmlformats.org/officeDocument/2006/relationships/hyperlink" TargetMode="External"></Relationship><Relationship Id="rId18" Target="https://www.amazon.com/MontVoo-Outdoor-Waterproof-Reversible-Beach-Boho/dp/B0CLP18RZQ/ref=zg_bs_g_16509767011_d_sccl_14/141-5410386-7383464?th=1" Type="http://schemas.openxmlformats.org/officeDocument/2006/relationships/hyperlink" TargetMode="External"></Relationship><Relationship Id="rId19" Target="https://www.amazon.ca/Outdoor-Fashion-Rugs-Modern-Reversible-Backyard/dp/B0CMTNR7WK/ref=zg_bs_g_37288342011_d_sccl_22/135-3496690-1344336?th=1" Type="http://schemas.openxmlformats.org/officeDocument/2006/relationships/hyperlink" TargetMode="External"></Relationship><Relationship Id="rId20" Target="https://www.amazon.ca/TECHMILLY-Outdoor-Waterproof-Reversible-Portable/dp/B0D9PWS1GH/ref=zg_bs_g_37288342011_d_sccl_17/135-3496690-1344336?th=1" Type="http://schemas.openxmlformats.org/officeDocument/2006/relationships/hyperlink" TargetMode="External"></Relationship></Relationships>
</file>

<file path=xl/worksheets/_rels/sheet13.xml.rels><?xml version="1.0" encoding="UTF-8" standalone="yes"?>
<Relationships xmlns="http://schemas.openxmlformats.org/package/2006/relationships"><Relationship Id="rId1" Target="../drawings/vmlDrawing3.vml" Type="http://schemas.openxmlformats.org/officeDocument/2006/relationships/vmlDrawing"></Relationship><Relationship Id="rId2" Target="../comments3.xml" Type="http://schemas.openxmlformats.org/officeDocument/2006/relationships/comments"></Relationship></Relationships>
</file>

<file path=xl/worksheets/_rels/sheet14.xml.rels><?xml version="1.0" encoding="UTF-8" standalone="yes"?>
<Relationships xmlns="http://schemas.openxmlformats.org/package/2006/relationships"><Relationship Id="rId1" Target="../pivotTables/pivotTable2.xml" Type="http://schemas.openxmlformats.org/officeDocument/2006/relationships/pivotTable"></Relationship></Relationships>
</file>

<file path=xl/worksheets/_rels/sheet15.xml.rels><?xml version="1.0" encoding="UTF-8" standalone="yes"?>
<Relationships xmlns="http://schemas.openxmlformats.org/package/2006/relationships"><Relationship Id="rId1" Target="../pivotTables/pivotTable3.xml" Type="http://schemas.openxmlformats.org/officeDocument/2006/relationships/pivotTabl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00B0F0"/>
    <outlinePr summaryBelow="false" summaryRight="false"/>
  </sheetPr>
  <dimension ref="A1"/>
  <sheetViews>
    <sheetView showGridLines="true" tabSelected="true" workbookViewId="0">
      <pane state="frozen" topLeftCell="E18" xSplit="4" ySplit="17"/>
    </sheetView>
  </sheetViews>
  <sheetFormatPr defaultColWidth="8" defaultRowHeight="16"/>
  <cols>
    <col collapsed="false" customWidth="true" hidden="false" max="16" min="16" style="0" width="9"/>
    <col collapsed="false" customWidth="true" hidden="false" max="29" min="29" style="0" width="6"/>
    <col collapsed="false" customWidth="true" hidden="false" max="45" min="45" style="0" width="10"/>
    <col collapsed="false" customWidth="true" hidden="false" max="15" min="15" style="0" width="9"/>
    <col collapsed="false" customWidth="true" hidden="false" max="32" min="32" style="0" width="6"/>
    <col collapsed="false" customWidth="true" hidden="false" max="48" min="48" style="0" width="10"/>
    <col collapsed="false" customWidth="true" hidden="false" max="10" min="10" style="0" width="15"/>
    <col collapsed="false" customWidth="true" hidden="false" max="31" min="31" style="0" width="6"/>
    <col collapsed="false" customWidth="true" hidden="false" max="47" min="47" style="0" width="10"/>
    <col collapsed="false" customWidth="true" hidden="false" max="9" min="9" style="0" width="15"/>
    <col collapsed="false" customWidth="true" hidden="false" max="26" min="26" style="0" width="6"/>
    <col collapsed="false" customWidth="true" hidden="false" max="42" min="42" style="0" width="9"/>
    <col collapsed="false" customWidth="true" hidden="false" max="58" min="58" style="0" width="10"/>
    <col collapsed="false" customWidth="true" hidden="false" max="12" min="12" style="0" width="15"/>
    <col collapsed="false" customWidth="true" hidden="false" max="25" min="25" style="0" width="6"/>
    <col collapsed="false" customWidth="true" hidden="false" max="41" min="41" style="0" width="8"/>
    <col collapsed="false" customWidth="true" hidden="false" max="57" min="57" style="0" width="10"/>
    <col collapsed="false" customWidth="true" hidden="false" max="11" min="11" style="0" width="15"/>
    <col collapsed="false" customWidth="true" hidden="false" max="28" min="28" style="0" width="6"/>
    <col collapsed="false" customWidth="true" hidden="false" max="44" min="44" style="0" width="10"/>
    <col collapsed="false" customWidth="true" hidden="false" max="60" min="60" style="0" width="10"/>
    <col collapsed="false" customWidth="true" hidden="false" max="27" min="27" style="0" width="6"/>
    <col collapsed="false" customWidth="true" hidden="false" max="43" min="43" style="0" width="10"/>
    <col collapsed="false" customWidth="true" hidden="false" max="59" min="59" style="0" width="10"/>
    <col collapsed="false" customWidth="true" hidden="false" max="6" min="6" style="0" width="15"/>
    <col collapsed="false" customWidth="true" hidden="false" max="22" min="22" style="0" width="6"/>
    <col collapsed="false" customWidth="true" hidden="false" max="38" min="38" style="0" width="10"/>
    <col collapsed="false" customWidth="true" hidden="false" max="54" min="54" style="0" width="12"/>
    <col collapsed="false" customWidth="true" hidden="false" max="5" min="5" style="0" width="21"/>
    <col collapsed="false" customWidth="true" hidden="false" max="8" min="8" style="0" width="22"/>
    <col collapsed="false" customWidth="true" hidden="false" max="21" min="21" style="0" width="7"/>
    <col collapsed="false" customWidth="true" hidden="false" max="37" min="37" style="0" width="10"/>
    <col collapsed="false" customWidth="true" hidden="false" max="53" min="53" style="0" width="12"/>
    <col collapsed="false" customWidth="true" hidden="false" max="7" min="7" style="0" width="15"/>
    <col collapsed="false" customWidth="true" hidden="false" max="24" min="24" style="0" width="9"/>
    <col collapsed="false" customWidth="true" hidden="false" max="40" min="40" style="0" width="15"/>
    <col collapsed="false" customWidth="true" hidden="false" max="56" min="56" style="0" width="10"/>
    <col collapsed="false" customWidth="true" hidden="false" max="2" min="2" style="0" width="9"/>
    <col collapsed="false" customWidth="true" hidden="false" max="23" min="23" style="0" width="6"/>
    <col collapsed="false" customWidth="true" hidden="false" max="39" min="39" style="0" width="10"/>
    <col collapsed="false" customWidth="true" hidden="false" max="55" min="55" style="0" width="13"/>
    <col collapsed="false" customWidth="true" hidden="false" max="1" min="1" style="0" width="12"/>
    <col collapsed="false" customWidth="true" hidden="false" max="18" min="18" style="0" width="8"/>
    <col collapsed="false" customWidth="true" hidden="false" max="34" min="34" style="0" width="6"/>
    <col collapsed="false" customWidth="true" hidden="false" max="50" min="50" style="0" width="10"/>
    <col collapsed="false" customWidth="true" hidden="false" max="4" min="4" style="0" width="15"/>
    <col collapsed="false" customWidth="true" hidden="false" max="17" min="17" style="0" width="6"/>
    <col collapsed="false" customWidth="true" hidden="false" max="33" min="33" style="0" width="6"/>
    <col collapsed="false" customWidth="true" hidden="false" max="49" min="49" style="0" width="10"/>
    <col collapsed="false" customWidth="true" hidden="false" max="3" min="3" style="0" width="15"/>
    <col collapsed="false" customWidth="true" hidden="false" max="20" min="20" style="0" width="6"/>
    <col collapsed="false" customWidth="true" hidden="false" max="36" min="36" style="0" width="10"/>
    <col collapsed="false" customWidth="true" hidden="false" max="52" min="52" style="0" width="12"/>
    <col collapsed="false" customWidth="true" hidden="false" max="14" min="14" style="0" width="9"/>
    <col collapsed="false" customWidth="true" hidden="false" max="19" min="19" style="0" width="6"/>
    <col collapsed="false" customWidth="true" hidden="false" max="35" min="35" style="0" width="9"/>
    <col collapsed="false" customWidth="true" hidden="false" max="51" min="51" style="0" width="13"/>
    <col collapsed="false" customWidth="true" hidden="false" max="13" min="13" style="0" width="15"/>
    <col collapsed="false" customWidth="true" hidden="false" max="30" min="30" style="0" width="6"/>
    <col collapsed="false" customWidth="true" hidden="false" max="46" min="46" style="0" width="10"/>
  </cols>
  <sheetData>
    <row customHeight="true" ht="14" r="1">
      <c r="A1" s="1" t="s">
        <v>1</v>
      </c>
      <c r="B1" s="2" t="s">
        <v>2</v>
      </c>
      <c r="C1" s="2"/>
      <c r="D1" s="3"/>
      <c r="E1" s="2" t="s">
        <v>3</v>
      </c>
      <c r="F1" s="2"/>
      <c r="G1" s="3"/>
      <c r="H1" s="2" t="s">
        <v>4</v>
      </c>
      <c r="I1" s="2"/>
      <c r="J1" s="4"/>
      <c r="K1" s="2" t="s">
        <v>5</v>
      </c>
      <c r="L1" s="2"/>
      <c r="M1" s="2"/>
      <c r="N1" s="2"/>
      <c r="O1" s="4"/>
      <c r="P1" s="2" t="s">
        <v>6</v>
      </c>
      <c r="Q1" s="2"/>
      <c r="R1" s="2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6"/>
      <c r="AU1" s="6"/>
      <c r="AV1" s="6"/>
      <c r="AW1" s="6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</row>
    <row customHeight="true" ht="13" r="2">
      <c r="A2" s="5"/>
      <c r="B2" s="7" t="s">
        <v>7</v>
      </c>
      <c r="C2" s="8">
        <v>0.0503409917742672</v>
      </c>
      <c r="D2" s="3"/>
      <c r="E2" s="9" t="s">
        <v>8</v>
      </c>
      <c r="F2" s="10">
        <v>0.25</v>
      </c>
      <c r="G2" s="3"/>
      <c r="H2" s="9" t="s">
        <v>9</v>
      </c>
      <c r="I2" s="11">
        <v>-0.3</v>
      </c>
      <c r="J2" s="4"/>
      <c r="K2" s="12" t="s">
        <v>10</v>
      </c>
      <c r="L2" s="13" t="s">
        <v>11</v>
      </c>
      <c r="M2" s="13" t="s">
        <v>12</v>
      </c>
      <c r="N2" s="14" t="s">
        <v>13</v>
      </c>
      <c r="O2" s="4"/>
      <c r="P2" s="12" t="s">
        <v>10</v>
      </c>
      <c r="Q2" s="12" t="s">
        <v>12</v>
      </c>
      <c r="R2" s="15" t="s">
        <v>13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6"/>
      <c r="AU2" s="6"/>
      <c r="AV2" s="6"/>
      <c r="AW2" s="6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</row>
    <row customHeight="true" ht="13" r="3">
      <c r="A3" s="5"/>
      <c r="B3" s="16" t="s">
        <v>14</v>
      </c>
      <c r="C3" s="17">
        <v>0.028105838873252</v>
      </c>
      <c r="D3" s="18">
        <f>(C3-C2)/C2</f>
      </c>
      <c r="E3" s="19" t="s">
        <v>15</v>
      </c>
      <c r="F3" s="20">
        <v>0.25</v>
      </c>
      <c r="G3" s="3"/>
      <c r="H3" s="19" t="s">
        <v>16</v>
      </c>
      <c r="I3" s="21">
        <v>0.3</v>
      </c>
      <c r="J3" s="4"/>
      <c r="K3" s="12">
        <v>1</v>
      </c>
      <c r="L3" s="22" cm="1">
        <f t="array" ref="L3:L3">_xlfn.XLOOKUP($K3,'BSR底表-美国'!$A:$A,'BSR底表-美国'!F:F)</f>
      </c>
      <c r="M3" s="22" cm="1">
        <f t="array" ref="M3:M3">_xlfn.XLOOKUP($K3,'BSR底表-美国'!$A:$A,'BSR底表-美国'!G:G)</f>
      </c>
      <c r="N3" s="22" cm="1">
        <f t="array" ref="N3:N3">_xlfn.XLOOKUP($K3,'BSR底表-美国'!$A:$A,'BSR底表-美国'!H:H)</f>
      </c>
      <c r="O3" s="4"/>
      <c r="P3" s="12">
        <v>1</v>
      </c>
      <c r="Q3" s="23" cm="1">
        <f t="array" ref="Q3:Q3">_xlfn.XLOOKUP($P3,'BSR底表-加拿大'!$A:$A,'BSR底表-加拿大'!E:E)</f>
      </c>
      <c r="R3" s="23" cm="1">
        <f t="array" ref="R3:R3">_xlfn.XLOOKUP($P3,'BSR底表-加拿大'!$A:$A,'BSR底表-加拿大'!F:F)</f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5"/>
      <c r="AK3" s="5"/>
      <c r="AL3" s="5"/>
      <c r="AM3" s="5"/>
      <c r="AN3" s="5"/>
      <c r="AO3" s="5"/>
      <c r="AP3" s="5"/>
      <c r="AQ3" s="5"/>
      <c r="AR3" s="5"/>
      <c r="AS3" s="5"/>
      <c r="AT3" s="6"/>
      <c r="AU3" s="6"/>
      <c r="AV3" s="6"/>
      <c r="AW3" s="6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</row>
    <row customHeight="true" ht="13" r="4">
      <c r="A4" s="24" t="s">
        <v>17</v>
      </c>
      <c r="B4" s="16" t="s">
        <v>18</v>
      </c>
      <c r="C4" s="25">
        <f>D4</f>
      </c>
      <c r="D4" s="26">
        <f>C3*(1+D3)</f>
      </c>
      <c r="E4" s="5"/>
      <c r="F4" s="5"/>
      <c r="G4" s="3"/>
      <c r="H4" s="27" t="s">
        <v>19</v>
      </c>
      <c r="I4" s="28">
        <v>0.15</v>
      </c>
      <c r="J4" s="4"/>
      <c r="K4" s="12" t="s">
        <v>20</v>
      </c>
      <c r="L4" s="29" cm="1">
        <f t="array" ref="L4:L4">_xlfn.XLOOKUP($K4,'BSR底表-美国'!$A:$A,'BSR底表-美国'!F:F)</f>
      </c>
      <c r="M4" s="29" cm="1">
        <f t="array" ref="M4:M4">_xlfn.XLOOKUP($K4,'BSR底表-美国'!$A:$A,'BSR底表-美国'!G:G)</f>
      </c>
      <c r="N4" s="29" cm="1">
        <f t="array" ref="N4:N4">_xlfn.XLOOKUP($K4,'BSR底表-美国'!$A:$A,'BSR底表-美国'!H:H)</f>
      </c>
      <c r="O4" s="4"/>
      <c r="P4" s="12" t="s">
        <v>20</v>
      </c>
      <c r="Q4" s="23" cm="1">
        <f t="array" ref="Q4:Q4">_xlfn.XLOOKUP($P4,'BSR底表-加拿大'!$A:$A,'BSR底表-加拿大'!E:E)</f>
      </c>
      <c r="R4" s="23" cm="1">
        <f t="array" ref="R4:R4">_xlfn.XLOOKUP($P4,'BSR底表-加拿大'!$A:$A,'BSR底表-加拿大'!F:F)</f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5"/>
      <c r="AK4" s="5"/>
      <c r="AL4" s="5"/>
      <c r="AM4" s="5"/>
      <c r="AN4" s="5"/>
      <c r="AO4" s="5"/>
      <c r="AP4" s="5"/>
      <c r="AQ4" s="5"/>
      <c r="AR4" s="5"/>
      <c r="AS4" s="5"/>
      <c r="AT4" s="6"/>
      <c r="AU4" s="6"/>
      <c r="AV4" s="6"/>
      <c r="AW4" s="6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</row>
    <row customHeight="true" ht="13" r="5">
      <c r="A5" s="5"/>
      <c r="B5" s="4"/>
      <c r="C5" s="30"/>
      <c r="D5" s="18"/>
      <c r="E5" s="5"/>
      <c r="F5" s="5"/>
      <c r="G5" s="3"/>
      <c r="H5" s="3"/>
      <c r="I5" s="31"/>
      <c r="J5" s="4"/>
      <c r="K5" s="12" t="s">
        <v>21</v>
      </c>
      <c r="L5" s="29" cm="1">
        <f t="array" ref="L5:L5">_xlfn.XLOOKUP($K5,'BSR底表-美国'!$A:$A,'BSR底表-美国'!F:F)</f>
      </c>
      <c r="M5" s="29" cm="1">
        <f t="array" ref="M5:M5">_xlfn.XLOOKUP($K5,'BSR底表-美国'!$A:$A,'BSR底表-美国'!G:G)</f>
      </c>
      <c r="N5" s="29" cm="1">
        <f t="array" ref="N5:N5">_xlfn.XLOOKUP($K5,'BSR底表-美国'!$A:$A,'BSR底表-美国'!H:H)</f>
      </c>
      <c r="O5" s="4"/>
      <c r="P5" s="12" t="s">
        <v>21</v>
      </c>
      <c r="Q5" s="23" cm="1">
        <f t="array" ref="Q5:Q5">_xlfn.XLOOKUP($P5,'BSR底表-加拿大'!$A:$A,'BSR底表-加拿大'!E:E)</f>
      </c>
      <c r="R5" s="23" cm="1">
        <f t="array" ref="R5:R5">_xlfn.XLOOKUP($P5,'BSR底表-加拿大'!$A:$A,'BSR底表-加拿大'!F:F)</f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5"/>
      <c r="AK5" s="5"/>
      <c r="AL5" s="5"/>
      <c r="AM5" s="5"/>
      <c r="AN5" s="5"/>
      <c r="AO5" s="5"/>
      <c r="AP5" s="5"/>
      <c r="AQ5" s="5"/>
      <c r="AR5" s="5"/>
      <c r="AS5" s="5"/>
      <c r="AT5" s="6"/>
      <c r="AU5" s="6"/>
      <c r="AV5" s="6"/>
      <c r="AW5" s="6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</row>
    <row customHeight="true" ht="14" r="6">
      <c r="A6" s="1" t="s">
        <v>22</v>
      </c>
      <c r="B6" s="2" t="s">
        <v>2</v>
      </c>
      <c r="C6" s="2"/>
      <c r="D6" s="3"/>
      <c r="E6" s="5"/>
      <c r="F6" s="5"/>
      <c r="G6" s="3"/>
      <c r="H6" s="3"/>
      <c r="I6" s="31"/>
      <c r="J6" s="4"/>
      <c r="K6" s="12" t="s">
        <v>23</v>
      </c>
      <c r="L6" s="29" cm="1">
        <f t="array" ref="L6:L6">_xlfn.XLOOKUP($K6,'BSR底表-美国'!$A:$A,'BSR底表-美国'!F:F)</f>
      </c>
      <c r="M6" s="29" cm="1">
        <f t="array" ref="M6:M6">_xlfn.XLOOKUP($K6,'BSR底表-美国'!$A:$A,'BSR底表-美国'!G:G)</f>
      </c>
      <c r="N6" s="29" cm="1">
        <f t="array" ref="N6:N6">_xlfn.XLOOKUP($K6,'BSR底表-美国'!$A:$A,'BSR底表-美国'!H:H)</f>
      </c>
      <c r="O6" s="4"/>
      <c r="P6" s="12" t="s">
        <v>23</v>
      </c>
      <c r="Q6" s="23" cm="1">
        <f t="array" ref="Q6:Q6">_xlfn.XLOOKUP($P6,'BSR底表-加拿大'!$A:$A,'BSR底表-加拿大'!E:E)</f>
      </c>
      <c r="R6" s="23" cm="1">
        <f t="array" ref="R6:R6">_xlfn.XLOOKUP($P6,'BSR底表-加拿大'!$A:$A,'BSR底表-加拿大'!F:F)</f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5"/>
      <c r="AK6" s="5"/>
      <c r="AL6" s="5"/>
      <c r="AM6" s="5"/>
      <c r="AN6" s="5"/>
      <c r="AO6" s="5"/>
      <c r="AP6" s="5"/>
      <c r="AQ6" s="5"/>
      <c r="AR6" s="5"/>
      <c r="AS6" s="5"/>
      <c r="AT6" s="6"/>
      <c r="AU6" s="6"/>
      <c r="AV6" s="6"/>
      <c r="AW6" s="6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</row>
    <row customHeight="true" ht="13" r="7">
      <c r="A7" s="5"/>
      <c r="B7" s="7" t="s">
        <v>7</v>
      </c>
      <c r="C7" s="32">
        <v>1.22587411734576</v>
      </c>
      <c r="D7" s="3"/>
      <c r="E7" s="5"/>
      <c r="F7" s="5"/>
      <c r="G7" s="3"/>
      <c r="H7" s="3"/>
      <c r="I7" s="31"/>
      <c r="J7" s="4"/>
      <c r="K7" s="12" t="s">
        <v>24</v>
      </c>
      <c r="L7" s="29" cm="1">
        <f t="array" ref="L7:L7">_xlfn.XLOOKUP($K7,'BSR底表-美国'!$A:$A,'BSR底表-美国'!F:F)</f>
      </c>
      <c r="M7" s="29" cm="1">
        <f t="array" ref="M7:M7">_xlfn.XLOOKUP($K7,'BSR底表-美国'!$A:$A,'BSR底表-美国'!G:G)</f>
      </c>
      <c r="N7" s="29" cm="1">
        <f t="array" ref="N7:N7">_xlfn.XLOOKUP($K7,'BSR底表-美国'!$A:$A,'BSR底表-美国'!H:H)</f>
      </c>
      <c r="O7" s="4"/>
      <c r="P7" s="12" t="s">
        <v>24</v>
      </c>
      <c r="Q7" s="23" cm="1">
        <f t="array" ref="Q7:Q7">_xlfn.XLOOKUP($P7,'BSR底表-加拿大'!$A:$A,'BSR底表-加拿大'!E:E)</f>
      </c>
      <c r="R7" s="23" cm="1">
        <f t="array" ref="R7:R7">_xlfn.XLOOKUP($P7,'BSR底表-加拿大'!$A:$A,'BSR底表-加拿大'!F:F)</f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5"/>
      <c r="AK7" s="5"/>
      <c r="AL7" s="5"/>
      <c r="AM7" s="5"/>
      <c r="AN7" s="5"/>
      <c r="AO7" s="5"/>
      <c r="AP7" s="5"/>
      <c r="AQ7" s="5"/>
      <c r="AR7" s="5"/>
      <c r="AS7" s="5"/>
      <c r="AT7" s="6"/>
      <c r="AU7" s="6"/>
      <c r="AV7" s="6"/>
      <c r="AW7" s="6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</row>
    <row customHeight="true" ht="13" r="8">
      <c r="A8" s="5"/>
      <c r="B8" s="16" t="s">
        <v>14</v>
      </c>
      <c r="C8" s="32">
        <v>0.392337090086286</v>
      </c>
      <c r="D8" s="33">
        <f>(C8-C7)/C7</f>
      </c>
      <c r="E8" s="5"/>
      <c r="F8" s="5"/>
      <c r="G8" s="3"/>
      <c r="H8" s="3"/>
      <c r="I8" s="31"/>
      <c r="J8" s="4"/>
      <c r="K8" s="12" t="s">
        <v>25</v>
      </c>
      <c r="L8" s="29" cm="1">
        <f t="array" ref="L8:L8">_xlfn.XLOOKUP($K8,'BSR底表-美国'!$A:$A,'BSR底表-美国'!F:F)</f>
      </c>
      <c r="M8" s="29" cm="1">
        <f t="array" ref="M8:M8">_xlfn.XLOOKUP($K8,'BSR底表-美国'!$A:$A,'BSR底表-美国'!G:G)</f>
      </c>
      <c r="N8" s="29" cm="1">
        <f t="array" ref="N8:N8">_xlfn.XLOOKUP($K8,'BSR底表-美国'!$A:$A,'BSR底表-美国'!H:H)</f>
      </c>
      <c r="O8" s="4"/>
      <c r="P8" s="12" t="s">
        <v>25</v>
      </c>
      <c r="Q8" s="23" cm="1">
        <f t="array" ref="Q8:Q8">_xlfn.XLOOKUP($P8,'BSR底表-加拿大'!$A:$A,'BSR底表-加拿大'!E:E)</f>
      </c>
      <c r="R8" s="23" cm="1">
        <f t="array" ref="R8:R8">_xlfn.XLOOKUP($P8,'BSR底表-加拿大'!$A:$A,'BSR底表-加拿大'!F:F)</f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5"/>
      <c r="AK8" s="5"/>
      <c r="AL8" s="5"/>
      <c r="AM8" s="5"/>
      <c r="AN8" s="5"/>
      <c r="AO8" s="5"/>
      <c r="AP8" s="5"/>
      <c r="AQ8" s="5"/>
      <c r="AR8" s="5"/>
      <c r="AS8" s="5"/>
      <c r="AT8" s="6"/>
      <c r="AU8" s="6"/>
      <c r="AV8" s="6"/>
      <c r="AW8" s="6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</row>
    <row customHeight="true" ht="13" r="9">
      <c r="A9" s="24" t="s">
        <v>26</v>
      </c>
      <c r="B9" s="16" t="s">
        <v>18</v>
      </c>
      <c r="C9" s="34">
        <v>0.125566230724128</v>
      </c>
      <c r="D9" s="35">
        <f>C8*(1+D8)</f>
      </c>
      <c r="E9" s="36"/>
      <c r="F9" s="36"/>
      <c r="G9" s="18">
        <v>82255</v>
      </c>
      <c r="H9" s="6">
        <f>20381-9519</f>
      </c>
      <c r="I9" s="5"/>
      <c r="J9" s="4"/>
      <c r="K9" s="12" t="s">
        <v>27</v>
      </c>
      <c r="L9" s="29" cm="1">
        <f t="array" ref="L9:L9">_xlfn.XLOOKUP($K9,'BSR底表-美国'!$A:$A,'BSR底表-美国'!F:F)</f>
      </c>
      <c r="M9" s="29" cm="1">
        <f t="array" ref="M9:M9">_xlfn.XLOOKUP($K9,'BSR底表-美国'!$A:$A,'BSR底表-美国'!G:G)</f>
      </c>
      <c r="N9" s="29" cm="1">
        <f t="array" ref="N9:N9">_xlfn.XLOOKUP($K9,'BSR底表-美国'!$A:$A,'BSR底表-美国'!H:H)</f>
      </c>
      <c r="O9" s="4"/>
      <c r="P9" s="12" t="s">
        <v>27</v>
      </c>
      <c r="Q9" s="23" cm="1">
        <f t="array" ref="Q9:Q9">_xlfn.XLOOKUP($P9,'BSR底表-加拿大'!$A:$A,'BSR底表-加拿大'!E:E)</f>
      </c>
      <c r="R9" s="23" cm="1">
        <f t="array" ref="R9:R9">_xlfn.XLOOKUP($P9,'BSR底表-加拿大'!$A:$A,'BSR底表-加拿大'!F:F)</f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5"/>
      <c r="AK9" s="5"/>
      <c r="AL9" s="5"/>
      <c r="AM9" s="5"/>
      <c r="AN9" s="5"/>
      <c r="AO9" s="5"/>
      <c r="AP9" s="5"/>
      <c r="AQ9" s="24"/>
      <c r="AR9" s="5"/>
      <c r="AS9" s="5"/>
      <c r="AT9" s="6"/>
      <c r="AU9" s="6"/>
      <c r="AV9" s="6"/>
      <c r="AW9" s="6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</row>
    <row customHeight="true" ht="13" r="10">
      <c r="A10" s="5"/>
      <c r="B10" s="5"/>
      <c r="C10" s="22"/>
      <c r="D10" s="33">
        <f>(C9-C8)/C8</f>
      </c>
      <c r="E10" s="36"/>
      <c r="F10" s="36"/>
      <c r="G10" s="18">
        <f>H9/G9</f>
      </c>
      <c r="H10" s="6">
        <f>1-G10</f>
      </c>
      <c r="I10" s="5"/>
      <c r="J10" s="4"/>
      <c r="K10" s="5"/>
      <c r="L10" s="5"/>
      <c r="M10" s="5"/>
      <c r="N10" s="5"/>
      <c r="O10" s="5"/>
      <c r="P10" s="5"/>
      <c r="Q10" s="5"/>
      <c r="R10" s="5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6"/>
      <c r="AV10" s="6"/>
      <c r="AW10" s="6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</row>
    <row customHeight="true" ht="13" r="11">
      <c r="A11" s="5"/>
      <c r="B11" s="5"/>
      <c r="C11" s="22"/>
      <c r="D11" s="3"/>
      <c r="E11" s="36"/>
      <c r="F11" s="36"/>
      <c r="G11" s="3"/>
      <c r="H11" s="5"/>
      <c r="I11" s="5"/>
      <c r="J11" s="4"/>
      <c r="K11" s="5"/>
      <c r="L11" s="5"/>
      <c r="M11" s="5"/>
      <c r="N11" s="5"/>
      <c r="O11" s="5"/>
      <c r="P11" s="5"/>
      <c r="Q11" s="5"/>
      <c r="R11" s="5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6"/>
      <c r="AU11" s="6"/>
      <c r="AV11" s="6"/>
      <c r="AW11" s="6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</row>
    <row customHeight="true" ht="13" r="12">
      <c r="A12" s="5"/>
      <c r="B12" s="5"/>
      <c r="C12" s="22"/>
      <c r="D12" s="3"/>
      <c r="E12" s="36"/>
      <c r="F12" s="36"/>
      <c r="G12" s="3"/>
      <c r="H12" s="5"/>
      <c r="I12" s="5"/>
      <c r="J12" s="4"/>
      <c r="K12" s="5"/>
      <c r="L12" s="5"/>
      <c r="M12" s="5"/>
      <c r="N12" s="5"/>
      <c r="O12" s="5"/>
      <c r="P12" s="5"/>
      <c r="Q12" s="5"/>
      <c r="R12" s="5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6"/>
      <c r="AU12" s="6"/>
      <c r="AV12" s="6"/>
      <c r="AW12" s="6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</row>
    <row customHeight="true" ht="13" r="13">
      <c r="A13" s="5"/>
      <c r="B13" s="4"/>
      <c r="C13" s="4"/>
      <c r="D13" s="3"/>
      <c r="E13" s="3"/>
      <c r="F13" s="3"/>
      <c r="G13" s="3"/>
      <c r="H13" s="3"/>
      <c r="I13" s="3"/>
      <c r="J13" s="4"/>
      <c r="K13" s="5"/>
      <c r="L13" s="5"/>
      <c r="M13" s="5"/>
      <c r="N13" s="5"/>
      <c r="O13" s="5"/>
      <c r="P13" s="5"/>
      <c r="Q13" s="5"/>
      <c r="R13" s="5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6"/>
      <c r="AU13" s="6"/>
      <c r="AV13" s="6"/>
      <c r="AW13" s="6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</row>
    <row customHeight="true" ht="14" r="14">
      <c r="A14" s="5"/>
      <c r="B14" s="4"/>
      <c r="C14" s="4"/>
      <c r="D14" s="3"/>
      <c r="E14" s="3"/>
      <c r="F14" s="3"/>
      <c r="G14" s="3"/>
      <c r="H14" s="3"/>
      <c r="I14" s="3"/>
      <c r="J14" s="4"/>
      <c r="K14" s="5"/>
      <c r="L14" s="5"/>
      <c r="M14" s="5"/>
      <c r="N14" s="5"/>
      <c r="O14" s="4"/>
      <c r="P14" s="4"/>
      <c r="Q14" s="3"/>
      <c r="R14" s="3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5"/>
      <c r="AO14" s="5"/>
      <c r="AP14" s="5"/>
      <c r="AQ14" s="5"/>
      <c r="AR14" s="5"/>
      <c r="AS14" s="5"/>
      <c r="AT14" s="6"/>
      <c r="AU14" s="6"/>
      <c r="AV14" s="6"/>
      <c r="AW14" s="6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</row>
    <row customHeight="true" ht="33" r="15">
      <c r="A15" s="5"/>
      <c r="B15" s="4"/>
      <c r="C15" s="4"/>
      <c r="D15" s="3"/>
      <c r="E15" s="3"/>
      <c r="F15" s="3"/>
      <c r="G15" s="3"/>
      <c r="H15" s="37" t="s">
        <v>28</v>
      </c>
      <c r="I15" s="38" t="s">
        <v>29</v>
      </c>
      <c r="J15" s="4"/>
      <c r="K15" s="3"/>
      <c r="L15" s="4"/>
      <c r="M15" s="4"/>
      <c r="N15" s="4"/>
      <c r="O15" s="4"/>
      <c r="P15" s="4"/>
      <c r="Q15" s="3"/>
      <c r="R15" s="3"/>
      <c r="S15" s="4"/>
      <c r="T15" s="4"/>
      <c r="U15" s="4"/>
      <c r="V15" s="4"/>
      <c r="W15" s="4"/>
      <c r="X15" s="4"/>
      <c r="Y15" s="4"/>
      <c r="Z15" s="4"/>
      <c r="AA15" s="4"/>
      <c r="AB15" s="4"/>
      <c r="AC15" s="39" t="s">
        <v>30</v>
      </c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5"/>
      <c r="AQ15" s="5"/>
      <c r="AR15" s="5"/>
      <c r="AS15" s="5"/>
      <c r="AT15" s="6"/>
      <c r="AU15" s="6"/>
      <c r="AV15" s="6"/>
      <c r="AW15" s="6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</row>
    <row customHeight="true" ht="37" r="16">
      <c r="A16" s="40" t="s">
        <v>31</v>
      </c>
      <c r="B16" s="40" t="s">
        <v>32</v>
      </c>
      <c r="C16" s="40" t="s">
        <v>33</v>
      </c>
      <c r="D16" s="40" t="s">
        <v>34</v>
      </c>
      <c r="E16" s="40" t="s">
        <v>35</v>
      </c>
      <c r="F16" s="40" t="s">
        <v>36</v>
      </c>
      <c r="G16" s="40" t="s">
        <v>37</v>
      </c>
      <c r="H16" s="41" t="s">
        <v>38</v>
      </c>
      <c r="I16" s="40" t="s">
        <v>39</v>
      </c>
      <c r="J16" s="40" t="s">
        <v>40</v>
      </c>
      <c r="K16" s="40" t="s">
        <v>41</v>
      </c>
      <c r="L16" s="40" t="s">
        <v>42</v>
      </c>
      <c r="M16" s="40" t="s">
        <v>43</v>
      </c>
      <c r="N16" s="40" t="s">
        <v>44</v>
      </c>
      <c r="O16" s="40" t="s">
        <v>45</v>
      </c>
      <c r="P16" s="40" t="s">
        <v>46</v>
      </c>
      <c r="Q16" s="40" t="s">
        <v>47</v>
      </c>
      <c r="R16" s="40" t="s">
        <v>48</v>
      </c>
      <c r="S16" s="40" t="s">
        <v>49</v>
      </c>
      <c r="T16" s="40" t="s">
        <v>50</v>
      </c>
      <c r="U16" s="40" t="s">
        <v>51</v>
      </c>
      <c r="V16" s="40" t="s">
        <v>52</v>
      </c>
      <c r="W16" s="40" t="s">
        <v>53</v>
      </c>
      <c r="X16" s="40" t="s">
        <v>54</v>
      </c>
      <c r="Y16" s="40" t="s">
        <v>55</v>
      </c>
      <c r="Z16" s="40" t="s">
        <v>56</v>
      </c>
      <c r="AA16" s="40" t="s">
        <v>57</v>
      </c>
      <c r="AB16" s="40" t="s">
        <v>58</v>
      </c>
      <c r="AC16" s="40" t="s">
        <v>59</v>
      </c>
      <c r="AD16" s="40" t="s">
        <v>60</v>
      </c>
      <c r="AE16" s="40" t="s">
        <v>61</v>
      </c>
      <c r="AF16" s="40" t="s">
        <v>62</v>
      </c>
      <c r="AG16" s="40" t="s">
        <v>63</v>
      </c>
      <c r="AH16" s="42" t="s">
        <v>64</v>
      </c>
      <c r="AI16" s="42" t="s">
        <v>65</v>
      </c>
      <c r="AJ16" s="42" t="s">
        <v>66</v>
      </c>
      <c r="AK16" s="42" t="s">
        <v>67</v>
      </c>
      <c r="AL16" s="42" t="s">
        <v>68</v>
      </c>
      <c r="AM16" s="42" t="s">
        <v>69</v>
      </c>
      <c r="AN16" s="40" t="s">
        <v>70</v>
      </c>
      <c r="AO16" s="40" t="s">
        <v>71</v>
      </c>
      <c r="AP16" s="40" t="s">
        <v>72</v>
      </c>
      <c r="AQ16" s="40" t="s">
        <v>73</v>
      </c>
      <c r="AR16" s="40" t="s">
        <v>74</v>
      </c>
      <c r="AS16" s="40" t="s">
        <v>75</v>
      </c>
      <c r="AT16" s="43" t="s">
        <v>76</v>
      </c>
      <c r="AU16" s="43" t="s">
        <v>77</v>
      </c>
      <c r="AV16" s="43"/>
      <c r="AW16" s="43"/>
      <c r="AX16" s="44" t="s">
        <v>78</v>
      </c>
      <c r="AY16" s="44" t="s">
        <v>79</v>
      </c>
      <c r="AZ16" s="44" t="s">
        <v>80</v>
      </c>
      <c r="BA16" s="44" t="s">
        <v>81</v>
      </c>
      <c r="BB16" s="44" t="s">
        <v>82</v>
      </c>
      <c r="BC16" s="40" t="s">
        <v>83</v>
      </c>
      <c r="BD16" s="40" t="s">
        <v>84</v>
      </c>
      <c r="BE16" s="40" t="s">
        <v>85</v>
      </c>
      <c r="BF16" s="40" t="s">
        <v>86</v>
      </c>
      <c r="BG16" s="40" t="s">
        <v>87</v>
      </c>
      <c r="BH16" s="40" t="s">
        <v>88</v>
      </c>
    </row>
    <row customHeight="true" ht="13" r="17">
      <c r="A17" s="45" cm="1">
        <f t="array" ref="A17:A17">_xlfn.XLOOKUP(C17,'产品基础信息'!B:B,'产品基础信息'!C:C)</f>
      </c>
      <c r="B17" s="46" t="s">
        <v>89</v>
      </c>
      <c r="C17" s="47" t="s">
        <v>90</v>
      </c>
      <c r="D17" s="48" t="s">
        <v>91</v>
      </c>
      <c r="E17" s="49">
        <f>SUM('历史月度销量'!AZ3:BE3)</f>
      </c>
      <c r="F17" s="50">
        <f t="shared" ref="F17:F29" si="1">SUM(P34:U34)</f>
      </c>
      <c r="G17" s="51">
        <f t="shared" ref="G17:G29" si="36">IF(E17&gt;0,F17/E17-1,"")</f>
      </c>
      <c r="H17" s="51">
        <f t="shared" ref="H17:H25" si="41">$C$4*0.5+_xlfn.XLOOKUP(AK17,$K$2:$K$9,$M$2:$M$9)*0.2+_xlfn.XLOOKUP(AK17,$K$2:$K$9,$N$2:$N$9)*0.3</f>
      </c>
      <c r="I17" s="51">
        <f t="shared" ref="I17:I29" si="24">IF(E17&gt;0,(1+G17)/(1+H17)-1,"")</f>
      </c>
      <c r="J17" s="52">
        <f t="shared" ref="J17:J20" si="27">IF(D17="低销量产品",MIN($I$4,I17*$F$3),MIN($I$3,I17*$F$2))</f>
      </c>
      <c r="K17" s="51">
        <v>0.85</v>
      </c>
      <c r="L17" s="51">
        <v>1.18</v>
      </c>
      <c r="M17" s="53">
        <f t="shared" ref="M17:M29" si="2">ROUND(N17*$K17,0)</f>
      </c>
      <c r="N17" s="54">
        <f t="shared" ref="N17:N29" si="13">ROUND(P34*(1+$H$52)*(1+$J17),0)</f>
      </c>
      <c r="O17" s="55">
        <f t="shared" ref="O17:O29" si="42">ROUND(N17*$L17,0)</f>
      </c>
      <c r="P17" s="53">
        <f t="shared" ref="P17:P29" si="3">ROUND(Q17*$K17,0)</f>
      </c>
      <c r="Q17" s="56">
        <f t="shared" ref="Q17:Q29" si="51">ROUND(Q34*(1+$H$53)*(1+$J17),0)</f>
      </c>
      <c r="R17" s="57">
        <f t="shared" ref="R17:R29" si="43">ROUND(Q17*$L17,0)</f>
      </c>
      <c r="S17" s="53">
        <f t="shared" ref="S17:S29" si="4">ROUND(T17*$K17,0)</f>
      </c>
      <c r="T17" s="54">
        <f t="shared" ref="T17:T29" si="28">ROUND(R34*(1+$H$54)*(1+$J17),0)</f>
      </c>
      <c r="U17" s="55">
        <f t="shared" ref="U17:U29" si="44">ROUND(T17*$L17,0)</f>
      </c>
      <c r="V17" s="53">
        <f t="shared" ref="V17:V29" si="5">ROUND(W17*$K17,0)</f>
      </c>
      <c r="W17" s="54">
        <f t="shared" ref="W17:W29" si="37">ROUND(S34*(1+$H$55)*(1+$J17),0)</f>
      </c>
      <c r="X17" s="55">
        <f t="shared" ref="X17:X29" si="45">ROUND(W17*$L17,0)</f>
      </c>
      <c r="Y17" s="53">
        <f t="shared" ref="Y17:Y29" si="6">ROUND(Z17*$K17,0)</f>
      </c>
      <c r="Z17" s="54">
        <f t="shared" ref="Z17:Z29" si="16">ROUND(T34*(1+$H$56)*(1+$J17),0)</f>
      </c>
      <c r="AA17" s="55">
        <f t="shared" ref="AA17:AA29" si="46">ROUND(Z17*$L17,0)</f>
      </c>
      <c r="AB17" s="53">
        <f t="shared" ref="AB17:AB29" si="7">ROUND(AC17*$K17,0)</f>
      </c>
      <c r="AC17" s="58">
        <f t="shared" ref="AC17:AC29" si="25">ROUND(W34*(1+$H$57)*(1+$J17),0)</f>
      </c>
      <c r="AD17" s="55">
        <f t="shared" ref="AD17:AD29" si="47">ROUND(AC17*$L17,0)</f>
      </c>
      <c r="AE17" s="59">
        <f t="shared" ref="AE17:AE29" si="8">SUM(M17,P17,S17,V17,Y17,AB17)</f>
      </c>
      <c r="AF17" s="59">
        <f t="shared" ref="AF17:AF29" si="9">SUM(N17,Q17,T17,W17,Z17,AC17)</f>
      </c>
      <c r="AG17" s="59">
        <f t="shared" ref="AG17:AG29" si="10">SUM(O17,R17,U17,X17,AA17,AD17)</f>
      </c>
      <c r="AH17" s="49" t="s">
        <v>24</v>
      </c>
      <c r="AI17" s="49" t="s">
        <v>24</v>
      </c>
      <c r="AJ17" s="49" t="s">
        <v>21</v>
      </c>
      <c r="AK17" s="49" t="s">
        <v>21</v>
      </c>
      <c r="AL17" s="49" t="s">
        <v>21</v>
      </c>
      <c r="AM17" s="49" t="s">
        <v>21</v>
      </c>
      <c r="AN17" s="60">
        <f t="shared" ref="AN17:AN29" si="14">N17</f>
      </c>
      <c r="AO17" s="60">
        <f t="shared" ref="AO17:AO29" si="48">Q17</f>
      </c>
      <c r="AP17" s="60">
        <f t="shared" ref="AP17:AP29" si="52">T17</f>
      </c>
      <c r="AQ17" s="60">
        <f t="shared" ref="AQ17:AQ29" si="29">W17</f>
      </c>
      <c r="AR17" s="60">
        <f t="shared" ref="AR17:AR29" si="38">Z17</f>
      </c>
      <c r="AS17" s="60">
        <f t="shared" ref="AS17:AS29" si="17">AC17</f>
      </c>
      <c r="AT17" s="61">
        <f t="shared" ref="AT17:AT29" si="26">SUM(AN17:AS17)</f>
      </c>
      <c r="AU17" s="61">
        <f t="shared" ref="AU17:AU29" si="11">SUM(BC17:BH17)</f>
      </c>
      <c r="AV17" s="61">
        <f t="shared" ref="AV17:AV29" si="15">AT17-AU17</f>
      </c>
      <c r="AW17" s="62">
        <f t="shared" ref="AW17:AW29" si="49">(AT17-AU17)/AU17</f>
      </c>
      <c r="AX17" s="63">
        <f t="shared" ref="AX17:AX29" si="53">IFERROR((AO17-AN17)/AN17,"")</f>
      </c>
      <c r="AY17" s="63">
        <f t="shared" ref="AY17:AY29" si="54">IFERROR((AP17-AO17)/AO17,"")</f>
      </c>
      <c r="AZ17" s="63">
        <f t="shared" ref="AZ17:AZ29" si="55">IFERROR((AQ17-AP17)/AP17,"")</f>
      </c>
      <c r="BA17" s="63">
        <f t="shared" ref="BA17:BA29" si="56">IFERROR((AR17-AQ17)/AQ17,"")</f>
      </c>
      <c r="BB17" s="63">
        <f t="shared" ref="BB17:BB29" si="57">IFERROR((AS17-AR17)/AR17,"")</f>
      </c>
      <c r="BC17" s="60">
        <f t="shared" ref="BC17:BC29" si="30">P34</f>
      </c>
      <c r="BD17" s="60">
        <f t="shared" ref="BD17:BD29" si="31">Q34</f>
      </c>
      <c r="BE17" s="60">
        <f t="shared" ref="BE17:BE29" si="32">R34</f>
      </c>
      <c r="BF17" s="60">
        <f t="shared" ref="BF17:BF29" si="33">S34</f>
      </c>
      <c r="BG17" s="60">
        <f t="shared" ref="BG17:BG29" si="34">T34</f>
      </c>
      <c r="BH17" s="64">
        <f t="shared" ref="BH17:BH29" si="39">W34</f>
      </c>
    </row>
    <row customHeight="true" ht="13" r="18">
      <c r="A18" s="45" cm="1">
        <f t="array" ref="A18:A18">_xlfn.XLOOKUP(C18,'产品基础信息'!B:B,'产品基础信息'!C:C)</f>
      </c>
      <c r="B18" s="65" t="s">
        <v>89</v>
      </c>
      <c r="C18" s="66" t="s">
        <v>92</v>
      </c>
      <c r="D18" s="67" t="s">
        <v>91</v>
      </c>
      <c r="E18" s="68">
        <f>SUM('历史月度销量'!AZ4:BE4)</f>
      </c>
      <c r="F18" s="50">
        <f t="shared" si="1"/>
      </c>
      <c r="G18" s="69">
        <f t="shared" si="36"/>
      </c>
      <c r="H18" s="69">
        <f t="shared" si="41"/>
      </c>
      <c r="I18" s="69">
        <f t="shared" si="24"/>
      </c>
      <c r="J18" s="70">
        <f t="shared" si="27"/>
      </c>
      <c r="K18" s="69">
        <v>0.92</v>
      </c>
      <c r="L18" s="69">
        <v>1.1</v>
      </c>
      <c r="M18" s="53">
        <f t="shared" si="2"/>
      </c>
      <c r="N18" s="54">
        <f t="shared" si="13"/>
      </c>
      <c r="O18" s="55">
        <f t="shared" si="42"/>
      </c>
      <c r="P18" s="53">
        <f t="shared" si="3"/>
      </c>
      <c r="Q18" s="56">
        <f t="shared" si="51"/>
      </c>
      <c r="R18" s="57">
        <f t="shared" si="43"/>
      </c>
      <c r="S18" s="53">
        <f t="shared" si="4"/>
      </c>
      <c r="T18" s="54">
        <f t="shared" si="28"/>
      </c>
      <c r="U18" s="55">
        <f t="shared" si="44"/>
      </c>
      <c r="V18" s="53">
        <f t="shared" si="5"/>
      </c>
      <c r="W18" s="54">
        <f t="shared" si="37"/>
      </c>
      <c r="X18" s="55">
        <f t="shared" si="45"/>
      </c>
      <c r="Y18" s="53">
        <f t="shared" si="6"/>
      </c>
      <c r="Z18" s="54">
        <f t="shared" si="16"/>
      </c>
      <c r="AA18" s="55">
        <f t="shared" si="46"/>
      </c>
      <c r="AB18" s="53">
        <f t="shared" si="7"/>
      </c>
      <c r="AC18" s="58">
        <f t="shared" si="25"/>
      </c>
      <c r="AD18" s="55">
        <f t="shared" si="47"/>
      </c>
      <c r="AE18" s="71">
        <f t="shared" si="8"/>
      </c>
      <c r="AF18" s="71">
        <f t="shared" si="9"/>
      </c>
      <c r="AG18" s="71">
        <f t="shared" si="10"/>
      </c>
      <c r="AH18" s="68" t="s">
        <v>23</v>
      </c>
      <c r="AI18" s="68" t="s">
        <v>21</v>
      </c>
      <c r="AJ18" s="68" t="s">
        <v>21</v>
      </c>
      <c r="AK18" s="68" t="s">
        <v>21</v>
      </c>
      <c r="AL18" s="68" t="s">
        <v>21</v>
      </c>
      <c r="AM18" s="68" t="s">
        <v>21</v>
      </c>
      <c r="AN18" s="72">
        <f t="shared" si="14"/>
      </c>
      <c r="AO18" s="72">
        <f t="shared" si="48"/>
      </c>
      <c r="AP18" s="72">
        <f t="shared" si="52"/>
      </c>
      <c r="AQ18" s="72">
        <f t="shared" si="29"/>
      </c>
      <c r="AR18" s="72">
        <f t="shared" si="38"/>
      </c>
      <c r="AS18" s="72">
        <f t="shared" si="17"/>
      </c>
      <c r="AT18" s="61">
        <f t="shared" si="26"/>
      </c>
      <c r="AU18" s="61">
        <f t="shared" si="11"/>
      </c>
      <c r="AV18" s="61">
        <f t="shared" si="15"/>
      </c>
      <c r="AW18" s="62">
        <f t="shared" si="49"/>
      </c>
      <c r="AX18" s="73">
        <f t="shared" si="53"/>
      </c>
      <c r="AY18" s="73">
        <f t="shared" si="54"/>
      </c>
      <c r="AZ18" s="73">
        <f t="shared" si="55"/>
      </c>
      <c r="BA18" s="73">
        <f t="shared" si="56"/>
      </c>
      <c r="BB18" s="73">
        <f t="shared" si="57"/>
      </c>
      <c r="BC18" s="72">
        <f t="shared" si="30"/>
      </c>
      <c r="BD18" s="72">
        <f t="shared" si="31"/>
      </c>
      <c r="BE18" s="72">
        <f t="shared" si="32"/>
      </c>
      <c r="BF18" s="72">
        <f t="shared" si="33"/>
      </c>
      <c r="BG18" s="72">
        <f t="shared" si="34"/>
      </c>
      <c r="BH18" s="64">
        <f t="shared" si="39"/>
      </c>
    </row>
    <row customHeight="true" ht="13" r="19">
      <c r="A19" s="45" cm="1">
        <f t="array" ref="A19:A19">_xlfn.XLOOKUP(C19,'产品基础信息'!B:B,'产品基础信息'!C:C)</f>
      </c>
      <c r="B19" s="46" t="s">
        <v>89</v>
      </c>
      <c r="C19" s="47" t="s">
        <v>93</v>
      </c>
      <c r="D19" s="48" t="s">
        <v>91</v>
      </c>
      <c r="E19" s="49">
        <f>SUM('历史月度销量'!AZ5:BE5)</f>
      </c>
      <c r="F19" s="50">
        <f t="shared" si="1"/>
      </c>
      <c r="G19" s="51">
        <f t="shared" si="36"/>
      </c>
      <c r="H19" s="51">
        <f t="shared" si="41"/>
      </c>
      <c r="I19" s="51">
        <f t="shared" si="24"/>
      </c>
      <c r="J19" s="74">
        <f t="shared" si="27"/>
      </c>
      <c r="K19" s="51">
        <v>0.92</v>
      </c>
      <c r="L19" s="51">
        <v>1.1</v>
      </c>
      <c r="M19" s="53">
        <f t="shared" si="2"/>
      </c>
      <c r="N19" s="54">
        <f t="shared" si="13"/>
      </c>
      <c r="O19" s="55">
        <f t="shared" si="42"/>
      </c>
      <c r="P19" s="53">
        <f t="shared" si="3"/>
      </c>
      <c r="Q19" s="56">
        <f t="shared" si="51"/>
      </c>
      <c r="R19" s="57">
        <f t="shared" si="43"/>
      </c>
      <c r="S19" s="53">
        <f t="shared" si="4"/>
      </c>
      <c r="T19" s="54">
        <f t="shared" si="28"/>
      </c>
      <c r="U19" s="55">
        <f t="shared" si="44"/>
      </c>
      <c r="V19" s="53">
        <f t="shared" si="5"/>
      </c>
      <c r="W19" s="54">
        <f t="shared" si="37"/>
      </c>
      <c r="X19" s="55">
        <f t="shared" si="45"/>
      </c>
      <c r="Y19" s="53">
        <f t="shared" si="6"/>
      </c>
      <c r="Z19" s="54">
        <f t="shared" si="16"/>
      </c>
      <c r="AA19" s="55">
        <f t="shared" si="46"/>
      </c>
      <c r="AB19" s="53">
        <f t="shared" si="7"/>
      </c>
      <c r="AC19" s="58">
        <f t="shared" si="25"/>
      </c>
      <c r="AD19" s="55">
        <f t="shared" si="47"/>
      </c>
      <c r="AE19" s="59">
        <f t="shared" si="8"/>
      </c>
      <c r="AF19" s="59">
        <f t="shared" si="9"/>
      </c>
      <c r="AG19" s="59">
        <f t="shared" si="10"/>
      </c>
      <c r="AH19" s="49">
        <v>1</v>
      </c>
      <c r="AI19" s="49">
        <v>1</v>
      </c>
      <c r="AJ19" s="49">
        <v>1</v>
      </c>
      <c r="AK19" s="49">
        <v>1</v>
      </c>
      <c r="AL19" s="49">
        <v>1</v>
      </c>
      <c r="AM19" s="49">
        <v>1</v>
      </c>
      <c r="AN19" s="60">
        <f t="shared" si="14"/>
      </c>
      <c r="AO19" s="60">
        <f t="shared" si="48"/>
      </c>
      <c r="AP19" s="60">
        <f t="shared" si="52"/>
      </c>
      <c r="AQ19" s="60">
        <f t="shared" si="29"/>
      </c>
      <c r="AR19" s="60">
        <f t="shared" si="38"/>
      </c>
      <c r="AS19" s="60">
        <f t="shared" si="17"/>
      </c>
      <c r="AT19" s="61">
        <f t="shared" si="26"/>
      </c>
      <c r="AU19" s="61">
        <f t="shared" si="11"/>
      </c>
      <c r="AV19" s="61">
        <f t="shared" si="15"/>
      </c>
      <c r="AW19" s="62">
        <f t="shared" si="49"/>
      </c>
      <c r="AX19" s="63">
        <f t="shared" si="53"/>
      </c>
      <c r="AY19" s="63">
        <f t="shared" si="54"/>
      </c>
      <c r="AZ19" s="63">
        <f t="shared" si="55"/>
      </c>
      <c r="BA19" s="63">
        <f t="shared" si="56"/>
      </c>
      <c r="BB19" s="63">
        <f t="shared" si="57"/>
      </c>
      <c r="BC19" s="60">
        <f t="shared" si="30"/>
      </c>
      <c r="BD19" s="60">
        <f t="shared" si="31"/>
      </c>
      <c r="BE19" s="60">
        <f t="shared" si="32"/>
      </c>
      <c r="BF19" s="60">
        <f t="shared" si="33"/>
      </c>
      <c r="BG19" s="60">
        <f t="shared" si="34"/>
      </c>
      <c r="BH19" s="64">
        <f t="shared" si="39"/>
      </c>
    </row>
    <row customHeight="true" ht="13" r="20">
      <c r="A20" s="45" cm="1">
        <f t="array" ref="A20:A20">_xlfn.XLOOKUP(C20,'产品基础信息'!B:B,'产品基础信息'!C:C)</f>
      </c>
      <c r="B20" s="65" t="s">
        <v>89</v>
      </c>
      <c r="C20" s="66" t="s">
        <v>94</v>
      </c>
      <c r="D20" s="67" t="s">
        <v>91</v>
      </c>
      <c r="E20" s="68">
        <f>SUM('历史月度销量'!AZ6:BE6)</f>
      </c>
      <c r="F20" s="50">
        <f t="shared" si="1"/>
      </c>
      <c r="G20" s="69">
        <f t="shared" si="36"/>
      </c>
      <c r="H20" s="69">
        <f t="shared" si="41"/>
      </c>
      <c r="I20" s="69">
        <f t="shared" si="24"/>
      </c>
      <c r="J20" s="75">
        <f t="shared" si="27"/>
      </c>
      <c r="K20" s="69">
        <v>0.92</v>
      </c>
      <c r="L20" s="69">
        <v>1.1</v>
      </c>
      <c r="M20" s="53">
        <f t="shared" si="2"/>
      </c>
      <c r="N20" s="54">
        <f t="shared" si="13"/>
      </c>
      <c r="O20" s="55">
        <f t="shared" si="42"/>
      </c>
      <c r="P20" s="53">
        <f t="shared" si="3"/>
      </c>
      <c r="Q20" s="56">
        <f t="shared" si="51"/>
      </c>
      <c r="R20" s="57">
        <f t="shared" si="43"/>
      </c>
      <c r="S20" s="53">
        <f t="shared" si="4"/>
      </c>
      <c r="T20" s="54">
        <f t="shared" si="28"/>
      </c>
      <c r="U20" s="55">
        <f t="shared" si="44"/>
      </c>
      <c r="V20" s="53">
        <f t="shared" si="5"/>
      </c>
      <c r="W20" s="54">
        <f t="shared" si="37"/>
      </c>
      <c r="X20" s="55">
        <f t="shared" si="45"/>
      </c>
      <c r="Y20" s="53">
        <f t="shared" si="6"/>
      </c>
      <c r="Z20" s="54">
        <f t="shared" si="16"/>
      </c>
      <c r="AA20" s="55">
        <f t="shared" si="46"/>
      </c>
      <c r="AB20" s="53">
        <f t="shared" si="7"/>
      </c>
      <c r="AC20" s="58">
        <f t="shared" si="25"/>
      </c>
      <c r="AD20" s="55">
        <f t="shared" si="47"/>
      </c>
      <c r="AE20" s="71">
        <f t="shared" si="8"/>
      </c>
      <c r="AF20" s="71">
        <f t="shared" si="9"/>
      </c>
      <c r="AG20" s="71">
        <f t="shared" si="10"/>
      </c>
      <c r="AH20" s="76" t="s">
        <v>20</v>
      </c>
      <c r="AI20" s="76" t="s">
        <v>20</v>
      </c>
      <c r="AJ20" s="76" t="s">
        <v>20</v>
      </c>
      <c r="AK20" s="76" t="s">
        <v>20</v>
      </c>
      <c r="AL20" s="76" t="s">
        <v>20</v>
      </c>
      <c r="AM20" s="76" t="s">
        <v>20</v>
      </c>
      <c r="AN20" s="72">
        <f t="shared" si="14"/>
      </c>
      <c r="AO20" s="72">
        <f t="shared" si="48"/>
      </c>
      <c r="AP20" s="72">
        <f t="shared" si="52"/>
      </c>
      <c r="AQ20" s="72">
        <f t="shared" si="29"/>
      </c>
      <c r="AR20" s="72">
        <f t="shared" si="38"/>
      </c>
      <c r="AS20" s="72">
        <f t="shared" si="17"/>
      </c>
      <c r="AT20" s="61">
        <f t="shared" si="26"/>
      </c>
      <c r="AU20" s="61">
        <f t="shared" si="11"/>
      </c>
      <c r="AV20" s="61">
        <f t="shared" si="15"/>
      </c>
      <c r="AW20" s="62">
        <f t="shared" si="49"/>
      </c>
      <c r="AX20" s="73">
        <f t="shared" si="53"/>
      </c>
      <c r="AY20" s="73">
        <f t="shared" si="54"/>
      </c>
      <c r="AZ20" s="73">
        <f t="shared" si="55"/>
      </c>
      <c r="BA20" s="73">
        <f t="shared" si="56"/>
      </c>
      <c r="BB20" s="73">
        <f t="shared" si="57"/>
      </c>
      <c r="BC20" s="72">
        <f t="shared" si="30"/>
      </c>
      <c r="BD20" s="72">
        <f t="shared" si="31"/>
      </c>
      <c r="BE20" s="72">
        <f t="shared" si="32"/>
      </c>
      <c r="BF20" s="72">
        <f t="shared" si="33"/>
      </c>
      <c r="BG20" s="72">
        <f t="shared" si="34"/>
      </c>
      <c r="BH20" s="64">
        <f t="shared" si="39"/>
      </c>
    </row>
    <row customHeight="true" ht="13" r="21">
      <c r="A21" s="77" cm="1">
        <f t="array" ref="A21:A21">_xlfn.XLOOKUP(C21,'产品基础信息'!B:B,'产品基础信息'!C:C)</f>
      </c>
      <c r="B21" s="46" t="s">
        <v>89</v>
      </c>
      <c r="C21" s="47" t="s">
        <v>95</v>
      </c>
      <c r="D21" s="48" t="s">
        <v>96</v>
      </c>
      <c r="E21" s="49">
        <f>SUM('历史月度销量'!AZ7:BE7)</f>
      </c>
      <c r="F21" s="50">
        <f t="shared" si="1"/>
      </c>
      <c r="G21" s="51">
        <f t="shared" si="36"/>
      </c>
      <c r="H21" s="78">
        <f t="shared" si="41"/>
      </c>
      <c r="I21" s="51">
        <f t="shared" si="24"/>
      </c>
      <c r="J21" s="79">
        <v>0</v>
      </c>
      <c r="K21" s="51">
        <v>0.68</v>
      </c>
      <c r="L21" s="51">
        <v>1.3</v>
      </c>
      <c r="M21" s="53">
        <f t="shared" si="2"/>
      </c>
      <c r="N21" s="54">
        <f t="shared" si="13"/>
      </c>
      <c r="O21" s="55">
        <f t="shared" si="42"/>
      </c>
      <c r="P21" s="53">
        <f t="shared" si="3"/>
      </c>
      <c r="Q21" s="56">
        <f t="shared" si="51"/>
      </c>
      <c r="R21" s="57">
        <f t="shared" si="43"/>
      </c>
      <c r="S21" s="53">
        <f t="shared" si="4"/>
      </c>
      <c r="T21" s="54">
        <f t="shared" si="28"/>
      </c>
      <c r="U21" s="55">
        <f t="shared" si="44"/>
      </c>
      <c r="V21" s="53">
        <f t="shared" si="5"/>
      </c>
      <c r="W21" s="54">
        <f t="shared" si="37"/>
      </c>
      <c r="X21" s="55">
        <f t="shared" si="45"/>
      </c>
      <c r="Y21" s="53">
        <f t="shared" si="6"/>
      </c>
      <c r="Z21" s="54">
        <f t="shared" si="16"/>
      </c>
      <c r="AA21" s="55">
        <f t="shared" si="46"/>
      </c>
      <c r="AB21" s="53">
        <f t="shared" si="7"/>
      </c>
      <c r="AC21" s="58">
        <f t="shared" si="25"/>
      </c>
      <c r="AD21" s="55">
        <f t="shared" si="47"/>
      </c>
      <c r="AE21" s="59">
        <f t="shared" si="8"/>
      </c>
      <c r="AF21" s="59">
        <f t="shared" si="9"/>
      </c>
      <c r="AG21" s="59">
        <f t="shared" si="10"/>
      </c>
      <c r="AH21" s="49"/>
      <c r="AI21" s="49"/>
      <c r="AJ21" s="49" t="s">
        <v>27</v>
      </c>
      <c r="AK21" s="49" t="s">
        <v>25</v>
      </c>
      <c r="AL21" s="49" t="s">
        <v>25</v>
      </c>
      <c r="AM21" s="49" t="s">
        <v>25</v>
      </c>
      <c r="AN21" s="60">
        <f t="shared" si="14"/>
      </c>
      <c r="AO21" s="60">
        <f t="shared" si="48"/>
      </c>
      <c r="AP21" s="60">
        <f t="shared" si="52"/>
      </c>
      <c r="AQ21" s="60">
        <f t="shared" si="29"/>
      </c>
      <c r="AR21" s="60">
        <f t="shared" si="38"/>
      </c>
      <c r="AS21" s="60">
        <f t="shared" si="17"/>
      </c>
      <c r="AT21" s="61">
        <f t="shared" si="26"/>
      </c>
      <c r="AU21" s="61">
        <f t="shared" si="11"/>
      </c>
      <c r="AV21" s="61">
        <f t="shared" si="15"/>
      </c>
      <c r="AW21" s="62">
        <f t="shared" si="49"/>
      </c>
      <c r="AX21" s="63">
        <f t="shared" si="53"/>
      </c>
      <c r="AY21" s="63">
        <f t="shared" si="54"/>
      </c>
      <c r="AZ21" s="63">
        <f t="shared" si="55"/>
      </c>
      <c r="BA21" s="63">
        <f t="shared" si="56"/>
      </c>
      <c r="BB21" s="63">
        <f t="shared" si="57"/>
      </c>
      <c r="BC21" s="60">
        <f t="shared" si="30"/>
      </c>
      <c r="BD21" s="60">
        <f t="shared" si="31"/>
      </c>
      <c r="BE21" s="60">
        <f t="shared" si="32"/>
      </c>
      <c r="BF21" s="60">
        <f t="shared" si="33"/>
      </c>
      <c r="BG21" s="60">
        <f t="shared" si="34"/>
      </c>
      <c r="BH21" s="64">
        <f t="shared" si="39"/>
      </c>
    </row>
    <row customHeight="true" ht="13" r="22">
      <c r="A22" s="77" cm="1">
        <f t="array" ref="A22:A22">_xlfn.XLOOKUP(C22,'产品基础信息'!B:B,'产品基础信息'!C:C)</f>
      </c>
      <c r="B22" s="65" t="s">
        <v>89</v>
      </c>
      <c r="C22" s="66" t="s">
        <v>97</v>
      </c>
      <c r="D22" s="67" t="s">
        <v>96</v>
      </c>
      <c r="E22" s="68">
        <f>SUM('历史月度销量'!AZ8:BE8)</f>
      </c>
      <c r="F22" s="50">
        <f t="shared" si="1"/>
      </c>
      <c r="G22" s="69">
        <f t="shared" si="36"/>
      </c>
      <c r="H22" s="69">
        <f t="shared" si="41"/>
      </c>
      <c r="I22" s="69">
        <f t="shared" si="24"/>
      </c>
      <c r="J22" s="80">
        <v>0</v>
      </c>
      <c r="K22" s="69">
        <v>0.68</v>
      </c>
      <c r="L22" s="69">
        <v>1.3</v>
      </c>
      <c r="M22" s="53">
        <f t="shared" si="2"/>
      </c>
      <c r="N22" s="54">
        <f t="shared" si="13"/>
      </c>
      <c r="O22" s="55">
        <f t="shared" si="42"/>
      </c>
      <c r="P22" s="53">
        <f t="shared" si="3"/>
      </c>
      <c r="Q22" s="56">
        <f t="shared" si="51"/>
      </c>
      <c r="R22" s="57">
        <f t="shared" si="43"/>
      </c>
      <c r="S22" s="53">
        <f t="shared" si="4"/>
      </c>
      <c r="T22" s="54">
        <f t="shared" si="28"/>
      </c>
      <c r="U22" s="55">
        <f t="shared" si="44"/>
      </c>
      <c r="V22" s="53">
        <f t="shared" si="5"/>
      </c>
      <c r="W22" s="54">
        <f t="shared" si="37"/>
      </c>
      <c r="X22" s="55">
        <f t="shared" si="45"/>
      </c>
      <c r="Y22" s="53">
        <f t="shared" si="6"/>
      </c>
      <c r="Z22" s="54">
        <f t="shared" si="16"/>
      </c>
      <c r="AA22" s="55">
        <f t="shared" si="46"/>
      </c>
      <c r="AB22" s="53">
        <f t="shared" si="7"/>
      </c>
      <c r="AC22" s="58">
        <f t="shared" si="25"/>
      </c>
      <c r="AD22" s="55">
        <f t="shared" si="47"/>
      </c>
      <c r="AE22" s="71">
        <f t="shared" si="8"/>
      </c>
      <c r="AF22" s="71">
        <f t="shared" si="9"/>
      </c>
      <c r="AG22" s="71">
        <f t="shared" si="10"/>
      </c>
      <c r="AH22" s="68"/>
      <c r="AI22" s="68"/>
      <c r="AJ22" s="68" t="s">
        <v>27</v>
      </c>
      <c r="AK22" s="68" t="s">
        <v>25</v>
      </c>
      <c r="AL22" s="68" t="s">
        <v>25</v>
      </c>
      <c r="AM22" s="68" t="s">
        <v>25</v>
      </c>
      <c r="AN22" s="72">
        <f t="shared" si="14"/>
      </c>
      <c r="AO22" s="72">
        <f t="shared" si="48"/>
      </c>
      <c r="AP22" s="72">
        <f t="shared" si="52"/>
      </c>
      <c r="AQ22" s="72">
        <f t="shared" si="29"/>
      </c>
      <c r="AR22" s="72">
        <f t="shared" si="38"/>
      </c>
      <c r="AS22" s="72">
        <f t="shared" si="17"/>
      </c>
      <c r="AT22" s="61">
        <f t="shared" si="26"/>
      </c>
      <c r="AU22" s="61">
        <f t="shared" si="11"/>
      </c>
      <c r="AV22" s="61">
        <f t="shared" si="15"/>
      </c>
      <c r="AW22" s="62">
        <f t="shared" si="49"/>
      </c>
      <c r="AX22" s="73">
        <f t="shared" si="53"/>
      </c>
      <c r="AY22" s="73">
        <f t="shared" si="54"/>
      </c>
      <c r="AZ22" s="73">
        <f t="shared" si="55"/>
      </c>
      <c r="BA22" s="73">
        <f t="shared" si="56"/>
      </c>
      <c r="BB22" s="73">
        <f t="shared" si="57"/>
      </c>
      <c r="BC22" s="72">
        <f t="shared" si="30"/>
      </c>
      <c r="BD22" s="72">
        <f t="shared" si="31"/>
      </c>
      <c r="BE22" s="72">
        <f t="shared" si="32"/>
      </c>
      <c r="BF22" s="72">
        <f t="shared" si="33"/>
      </c>
      <c r="BG22" s="72">
        <f t="shared" si="34"/>
      </c>
      <c r="BH22" s="64">
        <f t="shared" si="39"/>
      </c>
    </row>
    <row customHeight="true" ht="13" r="23">
      <c r="A23" s="77" cm="1">
        <f t="array" ref="A23:A23">_xlfn.XLOOKUP(C23,'产品基础信息'!B:B,'产品基础信息'!C:C)</f>
      </c>
      <c r="B23" s="46" t="s">
        <v>89</v>
      </c>
      <c r="C23" s="47" t="s">
        <v>98</v>
      </c>
      <c r="D23" s="48" t="s">
        <v>96</v>
      </c>
      <c r="E23" s="49">
        <f>SUM('历史月度销量'!AZ9:BE9)</f>
      </c>
      <c r="F23" s="50">
        <f t="shared" si="1"/>
      </c>
      <c r="G23" s="51">
        <f t="shared" si="36"/>
      </c>
      <c r="H23" s="51">
        <f t="shared" si="41"/>
      </c>
      <c r="I23" s="78">
        <f t="shared" si="24"/>
      </c>
      <c r="J23" s="79">
        <v>0</v>
      </c>
      <c r="K23" s="51">
        <v>0.68</v>
      </c>
      <c r="L23" s="51">
        <v>1.2</v>
      </c>
      <c r="M23" s="53">
        <f t="shared" si="2"/>
      </c>
      <c r="N23" s="54">
        <f t="shared" si="13"/>
      </c>
      <c r="O23" s="55">
        <f t="shared" si="42"/>
      </c>
      <c r="P23" s="53">
        <f t="shared" si="3"/>
      </c>
      <c r="Q23" s="56">
        <f t="shared" si="51"/>
      </c>
      <c r="R23" s="57">
        <f t="shared" si="43"/>
      </c>
      <c r="S23" s="53">
        <f t="shared" si="4"/>
      </c>
      <c r="T23" s="54">
        <f t="shared" si="28"/>
      </c>
      <c r="U23" s="55">
        <f t="shared" si="44"/>
      </c>
      <c r="V23" s="53">
        <f t="shared" si="5"/>
      </c>
      <c r="W23" s="54">
        <f t="shared" si="37"/>
      </c>
      <c r="X23" s="55">
        <f t="shared" si="45"/>
      </c>
      <c r="Y23" s="53">
        <f t="shared" si="6"/>
      </c>
      <c r="Z23" s="54">
        <f t="shared" si="16"/>
      </c>
      <c r="AA23" s="55">
        <f t="shared" si="46"/>
      </c>
      <c r="AB23" s="53">
        <f t="shared" si="7"/>
      </c>
      <c r="AC23" s="58">
        <f t="shared" si="25"/>
      </c>
      <c r="AD23" s="55">
        <f t="shared" si="47"/>
      </c>
      <c r="AE23" s="59">
        <f t="shared" si="8"/>
      </c>
      <c r="AF23" s="59">
        <f t="shared" si="9"/>
      </c>
      <c r="AG23" s="59">
        <f t="shared" si="10"/>
      </c>
      <c r="AH23" s="49"/>
      <c r="AI23" s="49"/>
      <c r="AJ23" s="49" t="s">
        <v>27</v>
      </c>
      <c r="AK23" s="49" t="s">
        <v>25</v>
      </c>
      <c r="AL23" s="49" t="s">
        <v>25</v>
      </c>
      <c r="AM23" s="49" t="s">
        <v>25</v>
      </c>
      <c r="AN23" s="60">
        <f t="shared" si="14"/>
      </c>
      <c r="AO23" s="60">
        <f t="shared" si="48"/>
      </c>
      <c r="AP23" s="60">
        <f t="shared" si="52"/>
      </c>
      <c r="AQ23" s="60">
        <f t="shared" si="29"/>
      </c>
      <c r="AR23" s="60">
        <f t="shared" si="38"/>
      </c>
      <c r="AS23" s="60">
        <f t="shared" si="17"/>
      </c>
      <c r="AT23" s="61">
        <f t="shared" si="26"/>
      </c>
      <c r="AU23" s="61">
        <f t="shared" si="11"/>
      </c>
      <c r="AV23" s="61">
        <f t="shared" si="15"/>
      </c>
      <c r="AW23" s="62">
        <f t="shared" si="49"/>
      </c>
      <c r="AX23" s="63">
        <f t="shared" si="53"/>
      </c>
      <c r="AY23" s="63">
        <f t="shared" si="54"/>
      </c>
      <c r="AZ23" s="63">
        <f t="shared" si="55"/>
      </c>
      <c r="BA23" s="63">
        <f t="shared" si="56"/>
      </c>
      <c r="BB23" s="63">
        <f t="shared" si="57"/>
      </c>
      <c r="BC23" s="60">
        <f t="shared" si="30"/>
      </c>
      <c r="BD23" s="60">
        <f t="shared" si="31"/>
      </c>
      <c r="BE23" s="60">
        <f t="shared" si="32"/>
      </c>
      <c r="BF23" s="60">
        <f t="shared" si="33"/>
      </c>
      <c r="BG23" s="60">
        <f t="shared" si="34"/>
      </c>
      <c r="BH23" s="64">
        <f t="shared" si="39"/>
      </c>
    </row>
    <row customHeight="true" ht="13" r="24">
      <c r="A24" s="77" cm="1">
        <f t="array" ref="A24:A24">_xlfn.XLOOKUP(C24,'产品基础信息'!B:B,'产品基础信息'!C:C)</f>
      </c>
      <c r="B24" s="65" t="s">
        <v>89</v>
      </c>
      <c r="C24" s="66" t="s">
        <v>99</v>
      </c>
      <c r="D24" s="67" t="s">
        <v>96</v>
      </c>
      <c r="E24" s="68">
        <f>SUM('历史月度销量'!AZ10:BE10)</f>
      </c>
      <c r="F24" s="50">
        <f t="shared" si="1"/>
      </c>
      <c r="G24" s="69">
        <f t="shared" si="36"/>
      </c>
      <c r="H24" s="69">
        <f t="shared" si="41"/>
      </c>
      <c r="I24" s="81">
        <f t="shared" si="24"/>
      </c>
      <c r="J24" s="80">
        <v>0</v>
      </c>
      <c r="K24" s="69">
        <v>0.68</v>
      </c>
      <c r="L24" s="69">
        <v>1.2</v>
      </c>
      <c r="M24" s="53">
        <f t="shared" si="2"/>
      </c>
      <c r="N24" s="54">
        <f t="shared" si="13"/>
      </c>
      <c r="O24" s="55">
        <f t="shared" si="42"/>
      </c>
      <c r="P24" s="53">
        <f t="shared" si="3"/>
      </c>
      <c r="Q24" s="56">
        <f t="shared" si="51"/>
      </c>
      <c r="R24" s="57">
        <f t="shared" si="43"/>
      </c>
      <c r="S24" s="53">
        <f t="shared" si="4"/>
      </c>
      <c r="T24" s="54">
        <f t="shared" si="28"/>
      </c>
      <c r="U24" s="55">
        <f t="shared" si="44"/>
      </c>
      <c r="V24" s="53">
        <f t="shared" si="5"/>
      </c>
      <c r="W24" s="54">
        <f t="shared" si="37"/>
      </c>
      <c r="X24" s="55">
        <f t="shared" si="45"/>
      </c>
      <c r="Y24" s="53">
        <f t="shared" si="6"/>
      </c>
      <c r="Z24" s="54">
        <f t="shared" si="16"/>
      </c>
      <c r="AA24" s="55">
        <f t="shared" si="46"/>
      </c>
      <c r="AB24" s="53">
        <f t="shared" si="7"/>
      </c>
      <c r="AC24" s="58">
        <f t="shared" si="25"/>
      </c>
      <c r="AD24" s="55">
        <f t="shared" si="47"/>
      </c>
      <c r="AE24" s="71">
        <f t="shared" si="8"/>
      </c>
      <c r="AF24" s="71">
        <f t="shared" si="9"/>
      </c>
      <c r="AG24" s="71">
        <f t="shared" si="10"/>
      </c>
      <c r="AH24" s="68"/>
      <c r="AI24" s="68"/>
      <c r="AJ24" s="68" t="s">
        <v>27</v>
      </c>
      <c r="AK24" s="68" t="s">
        <v>25</v>
      </c>
      <c r="AL24" s="68" t="s">
        <v>25</v>
      </c>
      <c r="AM24" s="68" t="s">
        <v>25</v>
      </c>
      <c r="AN24" s="72">
        <f t="shared" si="14"/>
      </c>
      <c r="AO24" s="72">
        <f t="shared" si="48"/>
      </c>
      <c r="AP24" s="72">
        <f t="shared" si="52"/>
      </c>
      <c r="AQ24" s="72">
        <f t="shared" si="29"/>
      </c>
      <c r="AR24" s="72">
        <f t="shared" si="38"/>
      </c>
      <c r="AS24" s="72">
        <f t="shared" si="17"/>
      </c>
      <c r="AT24" s="61">
        <f t="shared" si="26"/>
      </c>
      <c r="AU24" s="61">
        <f t="shared" si="11"/>
      </c>
      <c r="AV24" s="61">
        <f t="shared" si="15"/>
      </c>
      <c r="AW24" s="62">
        <f t="shared" si="49"/>
      </c>
      <c r="AX24" s="73">
        <f t="shared" si="53"/>
      </c>
      <c r="AY24" s="73">
        <f t="shared" si="54"/>
      </c>
      <c r="AZ24" s="73">
        <f t="shared" si="55"/>
      </c>
      <c r="BA24" s="73">
        <f t="shared" si="56"/>
      </c>
      <c r="BB24" s="73">
        <f t="shared" si="57"/>
      </c>
      <c r="BC24" s="72">
        <f t="shared" si="30"/>
      </c>
      <c r="BD24" s="72">
        <f t="shared" si="31"/>
      </c>
      <c r="BE24" s="72">
        <f t="shared" si="32"/>
      </c>
      <c r="BF24" s="72">
        <f t="shared" si="33"/>
      </c>
      <c r="BG24" s="72">
        <f t="shared" si="34"/>
      </c>
      <c r="BH24" s="64">
        <f t="shared" si="39"/>
      </c>
    </row>
    <row customHeight="true" ht="13" r="25">
      <c r="A25" s="77" cm="1">
        <f t="array" ref="A25:A25">_xlfn.XLOOKUP(C25,'产品基础信息'!B:B,'产品基础信息'!C:C)</f>
      </c>
      <c r="B25" s="46" t="s">
        <v>89</v>
      </c>
      <c r="C25" s="47" t="s">
        <v>100</v>
      </c>
      <c r="D25" s="48" t="s">
        <v>91</v>
      </c>
      <c r="E25" s="49">
        <f>SUM('历史月度销量'!AZ11:BE11)</f>
      </c>
      <c r="F25" s="50">
        <f t="shared" si="1"/>
      </c>
      <c r="G25" s="51">
        <f t="shared" si="36"/>
      </c>
      <c r="H25" s="51">
        <f t="shared" si="41"/>
      </c>
      <c r="I25" s="78">
        <f t="shared" si="24"/>
      </c>
      <c r="J25" s="79">
        <v>0</v>
      </c>
      <c r="K25" s="51">
        <v>0.68</v>
      </c>
      <c r="L25" s="51">
        <v>1.3</v>
      </c>
      <c r="M25" s="53">
        <f t="shared" si="2"/>
      </c>
      <c r="N25" s="54">
        <f t="shared" si="13"/>
      </c>
      <c r="O25" s="55">
        <f t="shared" si="42"/>
      </c>
      <c r="P25" s="53">
        <f t="shared" si="3"/>
      </c>
      <c r="Q25" s="56">
        <f t="shared" si="51"/>
      </c>
      <c r="R25" s="57">
        <f t="shared" si="43"/>
      </c>
      <c r="S25" s="53">
        <f t="shared" si="4"/>
      </c>
      <c r="T25" s="54">
        <f t="shared" si="28"/>
      </c>
      <c r="U25" s="55">
        <f t="shared" si="44"/>
      </c>
      <c r="V25" s="53">
        <f t="shared" si="5"/>
      </c>
      <c r="W25" s="54">
        <f t="shared" si="37"/>
      </c>
      <c r="X25" s="55">
        <f t="shared" si="45"/>
      </c>
      <c r="Y25" s="53">
        <f t="shared" si="6"/>
      </c>
      <c r="Z25" s="54">
        <f t="shared" si="16"/>
      </c>
      <c r="AA25" s="55">
        <f t="shared" si="46"/>
      </c>
      <c r="AB25" s="53">
        <f t="shared" si="7"/>
      </c>
      <c r="AC25" s="58">
        <f t="shared" si="25"/>
      </c>
      <c r="AD25" s="55">
        <f t="shared" si="47"/>
      </c>
      <c r="AE25" s="59">
        <f t="shared" si="8"/>
      </c>
      <c r="AF25" s="59">
        <f t="shared" si="9"/>
      </c>
      <c r="AG25" s="59">
        <f t="shared" si="10"/>
      </c>
      <c r="AH25" s="49"/>
      <c r="AI25" s="49"/>
      <c r="AJ25" s="49" t="s">
        <v>27</v>
      </c>
      <c r="AK25" s="49" t="s">
        <v>25</v>
      </c>
      <c r="AL25" s="49" t="s">
        <v>25</v>
      </c>
      <c r="AM25" s="49" t="s">
        <v>25</v>
      </c>
      <c r="AN25" s="60">
        <f t="shared" si="14"/>
      </c>
      <c r="AO25" s="60">
        <f t="shared" si="48"/>
      </c>
      <c r="AP25" s="60">
        <f t="shared" si="52"/>
      </c>
      <c r="AQ25" s="60">
        <f t="shared" si="29"/>
      </c>
      <c r="AR25" s="60">
        <f t="shared" si="38"/>
      </c>
      <c r="AS25" s="60">
        <f t="shared" si="17"/>
      </c>
      <c r="AT25" s="61">
        <f t="shared" si="26"/>
      </c>
      <c r="AU25" s="61">
        <f t="shared" si="11"/>
      </c>
      <c r="AV25" s="61">
        <f t="shared" si="15"/>
      </c>
      <c r="AW25" s="62">
        <f t="shared" si="49"/>
      </c>
      <c r="AX25" s="63">
        <f t="shared" si="53"/>
      </c>
      <c r="AY25" s="63">
        <f t="shared" si="54"/>
      </c>
      <c r="AZ25" s="63">
        <f t="shared" si="55"/>
      </c>
      <c r="BA25" s="63">
        <f t="shared" si="56"/>
      </c>
      <c r="BB25" s="63">
        <f t="shared" si="57"/>
      </c>
      <c r="BC25" s="60">
        <f t="shared" si="30"/>
      </c>
      <c r="BD25" s="60">
        <f t="shared" si="31"/>
      </c>
      <c r="BE25" s="60">
        <f t="shared" si="32"/>
      </c>
      <c r="BF25" s="60">
        <f t="shared" si="33"/>
      </c>
      <c r="BG25" s="60">
        <f t="shared" si="34"/>
      </c>
      <c r="BH25" s="64">
        <f t="shared" si="39"/>
      </c>
    </row>
    <row customHeight="true" ht="13" r="26">
      <c r="A26" s="45" cm="1">
        <f t="array" ref="A26:A26">_xlfn.XLOOKUP(C26,'产品基础信息'!B:B,'产品基础信息'!C:C)</f>
      </c>
      <c r="B26" s="65" t="s">
        <v>101</v>
      </c>
      <c r="C26" s="66" t="s">
        <v>102</v>
      </c>
      <c r="D26" s="67" t="s">
        <v>96</v>
      </c>
      <c r="E26" s="68">
        <f>SUM('历史月度销量'!AZ12:BE12)</f>
      </c>
      <c r="F26" s="50">
        <f t="shared" si="1"/>
      </c>
      <c r="G26" s="69">
        <f t="shared" si="36"/>
      </c>
      <c r="H26" s="82">
        <f t="shared" ref="H26:H29" si="18">$C$9*0.5+_xlfn.XLOOKUP(AK26,$P$3:$P$9,$R$3:$R$9)*0.5</f>
      </c>
      <c r="I26" s="69">
        <f t="shared" si="24"/>
      </c>
      <c r="J26" s="83">
        <v>0</v>
      </c>
      <c r="K26" s="69">
        <v>0.68</v>
      </c>
      <c r="L26" s="69">
        <v>1.3</v>
      </c>
      <c r="M26" s="53">
        <f t="shared" si="2"/>
      </c>
      <c r="N26" s="54">
        <f t="shared" si="13"/>
      </c>
      <c r="O26" s="55">
        <f t="shared" si="42"/>
      </c>
      <c r="P26" s="53">
        <f t="shared" si="3"/>
      </c>
      <c r="Q26" s="56">
        <f t="shared" si="51"/>
      </c>
      <c r="R26" s="57">
        <f t="shared" si="43"/>
      </c>
      <c r="S26" s="53">
        <f t="shared" si="4"/>
      </c>
      <c r="T26" s="54">
        <f t="shared" si="28"/>
      </c>
      <c r="U26" s="55">
        <f t="shared" si="44"/>
      </c>
      <c r="V26" s="53">
        <f t="shared" si="5"/>
      </c>
      <c r="W26" s="54">
        <f t="shared" si="37"/>
      </c>
      <c r="X26" s="55">
        <f t="shared" si="45"/>
      </c>
      <c r="Y26" s="53">
        <f t="shared" si="6"/>
      </c>
      <c r="Z26" s="54">
        <f t="shared" si="16"/>
      </c>
      <c r="AA26" s="55">
        <f t="shared" si="46"/>
      </c>
      <c r="AB26" s="53">
        <f t="shared" si="7"/>
      </c>
      <c r="AC26" s="58">
        <f t="shared" si="25"/>
      </c>
      <c r="AD26" s="55">
        <f t="shared" si="47"/>
      </c>
      <c r="AE26" s="71">
        <f t="shared" si="8"/>
      </c>
      <c r="AF26" s="71">
        <f t="shared" si="9"/>
      </c>
      <c r="AG26" s="71">
        <f t="shared" si="10"/>
      </c>
      <c r="AH26" s="68"/>
      <c r="AI26" s="68"/>
      <c r="AJ26" s="68">
        <v>1</v>
      </c>
      <c r="AK26" s="68">
        <v>1</v>
      </c>
      <c r="AL26" s="68">
        <v>1</v>
      </c>
      <c r="AM26" s="68">
        <v>1</v>
      </c>
      <c r="AN26" s="72">
        <f t="shared" si="14"/>
      </c>
      <c r="AO26" s="72">
        <f t="shared" si="48"/>
      </c>
      <c r="AP26" s="72">
        <f t="shared" si="52"/>
      </c>
      <c r="AQ26" s="72">
        <f t="shared" si="29"/>
      </c>
      <c r="AR26" s="72">
        <f t="shared" si="38"/>
      </c>
      <c r="AS26" s="72">
        <f t="shared" si="17"/>
      </c>
      <c r="AT26" s="61">
        <f t="shared" si="26"/>
      </c>
      <c r="AU26" s="61">
        <f t="shared" si="11"/>
      </c>
      <c r="AV26" s="61">
        <f t="shared" si="15"/>
      </c>
      <c r="AW26" s="62">
        <f t="shared" si="49"/>
      </c>
      <c r="AX26" s="73">
        <f t="shared" si="53"/>
      </c>
      <c r="AY26" s="73">
        <f t="shared" si="54"/>
      </c>
      <c r="AZ26" s="73">
        <f t="shared" si="55"/>
      </c>
      <c r="BA26" s="73">
        <f t="shared" si="56"/>
      </c>
      <c r="BB26" s="73">
        <f t="shared" si="57"/>
      </c>
      <c r="BC26" s="72">
        <f t="shared" si="30"/>
      </c>
      <c r="BD26" s="72">
        <f t="shared" si="31"/>
      </c>
      <c r="BE26" s="72">
        <f t="shared" si="32"/>
      </c>
      <c r="BF26" s="72">
        <f t="shared" si="33"/>
      </c>
      <c r="BG26" s="72">
        <f t="shared" si="34"/>
      </c>
      <c r="BH26" s="64">
        <f t="shared" si="39"/>
      </c>
    </row>
    <row customHeight="true" ht="13" r="27">
      <c r="A27" s="45" cm="1">
        <f t="array" ref="A27:A27">_xlfn.XLOOKUP(C27,'产品基础信息'!B:B,'产品基础信息'!C:C)</f>
      </c>
      <c r="B27" s="46" t="s">
        <v>101</v>
      </c>
      <c r="C27" s="47" t="s">
        <v>103</v>
      </c>
      <c r="D27" s="48" t="s">
        <v>96</v>
      </c>
      <c r="E27" s="49">
        <f>SUM('历史月度销量'!AZ13:BE13)</f>
      </c>
      <c r="F27" s="50">
        <f t="shared" si="1"/>
      </c>
      <c r="G27" s="51">
        <f t="shared" si="36"/>
      </c>
      <c r="H27" s="82">
        <f t="shared" si="18"/>
      </c>
      <c r="I27" s="51">
        <f t="shared" si="24"/>
      </c>
      <c r="J27" s="83">
        <v>0</v>
      </c>
      <c r="K27" s="51">
        <v>0.68</v>
      </c>
      <c r="L27" s="51">
        <v>1.3</v>
      </c>
      <c r="M27" s="53">
        <f t="shared" si="2"/>
      </c>
      <c r="N27" s="54">
        <f t="shared" si="13"/>
      </c>
      <c r="O27" s="55">
        <f t="shared" si="42"/>
      </c>
      <c r="P27" s="53">
        <f t="shared" si="3"/>
      </c>
      <c r="Q27" s="56">
        <f t="shared" si="51"/>
      </c>
      <c r="R27" s="57">
        <f t="shared" si="43"/>
      </c>
      <c r="S27" s="53">
        <f t="shared" si="4"/>
      </c>
      <c r="T27" s="54">
        <f t="shared" si="28"/>
      </c>
      <c r="U27" s="55">
        <f t="shared" si="44"/>
      </c>
      <c r="V27" s="53">
        <f t="shared" si="5"/>
      </c>
      <c r="W27" s="54">
        <f t="shared" si="37"/>
      </c>
      <c r="X27" s="55">
        <f t="shared" si="45"/>
      </c>
      <c r="Y27" s="53">
        <f t="shared" si="6"/>
      </c>
      <c r="Z27" s="54">
        <f t="shared" si="16"/>
      </c>
      <c r="AA27" s="55">
        <f t="shared" si="46"/>
      </c>
      <c r="AB27" s="53">
        <f t="shared" si="7"/>
      </c>
      <c r="AC27" s="58">
        <f t="shared" si="25"/>
      </c>
      <c r="AD27" s="55">
        <f t="shared" si="47"/>
      </c>
      <c r="AE27" s="59">
        <f t="shared" si="8"/>
      </c>
      <c r="AF27" s="59">
        <f t="shared" si="9"/>
      </c>
      <c r="AG27" s="59">
        <f t="shared" si="10"/>
      </c>
      <c r="AH27" s="49"/>
      <c r="AI27" s="49"/>
      <c r="AJ27" s="84" t="s">
        <v>20</v>
      </c>
      <c r="AK27" s="84" t="s">
        <v>20</v>
      </c>
      <c r="AL27" s="84" t="s">
        <v>20</v>
      </c>
      <c r="AM27" s="84" t="s">
        <v>20</v>
      </c>
      <c r="AN27" s="60">
        <f t="shared" si="14"/>
      </c>
      <c r="AO27" s="60">
        <f t="shared" si="48"/>
      </c>
      <c r="AP27" s="60">
        <f t="shared" si="52"/>
      </c>
      <c r="AQ27" s="60">
        <f t="shared" si="29"/>
      </c>
      <c r="AR27" s="60">
        <f t="shared" si="38"/>
      </c>
      <c r="AS27" s="60">
        <f t="shared" si="17"/>
      </c>
      <c r="AT27" s="61">
        <f t="shared" si="26"/>
      </c>
      <c r="AU27" s="61">
        <f t="shared" si="11"/>
      </c>
      <c r="AV27" s="61">
        <f t="shared" si="15"/>
      </c>
      <c r="AW27" s="62">
        <f t="shared" si="49"/>
      </c>
      <c r="AX27" s="63">
        <f t="shared" si="53"/>
      </c>
      <c r="AY27" s="63">
        <f t="shared" si="54"/>
      </c>
      <c r="AZ27" s="63">
        <f t="shared" si="55"/>
      </c>
      <c r="BA27" s="63">
        <f t="shared" si="56"/>
      </c>
      <c r="BB27" s="63">
        <f t="shared" si="57"/>
      </c>
      <c r="BC27" s="60">
        <f t="shared" si="30"/>
      </c>
      <c r="BD27" s="60">
        <f t="shared" si="31"/>
      </c>
      <c r="BE27" s="60">
        <f t="shared" si="32"/>
      </c>
      <c r="BF27" s="60">
        <f t="shared" si="33"/>
      </c>
      <c r="BG27" s="60">
        <f t="shared" si="34"/>
      </c>
      <c r="BH27" s="64">
        <f t="shared" si="39"/>
      </c>
    </row>
    <row customHeight="true" ht="13" r="28">
      <c r="A28" s="45" cm="1">
        <f t="array" ref="A28:A28">_xlfn.XLOOKUP(C28,'产品基础信息'!B:B,'产品基础信息'!C:C)</f>
      </c>
      <c r="B28" s="65" t="s">
        <v>101</v>
      </c>
      <c r="C28" s="66" t="s">
        <v>104</v>
      </c>
      <c r="D28" s="67" t="s">
        <v>96</v>
      </c>
      <c r="E28" s="68">
        <f>SUM('历史月度销量'!AZ14:BE14)</f>
      </c>
      <c r="F28" s="50">
        <f t="shared" si="1"/>
      </c>
      <c r="G28" s="69">
        <f t="shared" si="36"/>
      </c>
      <c r="H28" s="82">
        <f t="shared" si="18"/>
      </c>
      <c r="I28" s="69">
        <f t="shared" si="24"/>
      </c>
      <c r="J28" s="83">
        <v>0</v>
      </c>
      <c r="K28" s="69">
        <v>0.68</v>
      </c>
      <c r="L28" s="69">
        <v>1.15</v>
      </c>
      <c r="M28" s="53">
        <f t="shared" si="2"/>
      </c>
      <c r="N28" s="54">
        <f t="shared" si="13"/>
      </c>
      <c r="O28" s="55">
        <f t="shared" si="42"/>
      </c>
      <c r="P28" s="53">
        <f t="shared" si="3"/>
      </c>
      <c r="Q28" s="56">
        <f t="shared" si="51"/>
      </c>
      <c r="R28" s="57">
        <f t="shared" si="43"/>
      </c>
      <c r="S28" s="53">
        <f t="shared" si="4"/>
      </c>
      <c r="T28" s="54">
        <f t="shared" si="28"/>
      </c>
      <c r="U28" s="55">
        <f t="shared" si="44"/>
      </c>
      <c r="V28" s="53">
        <f t="shared" si="5"/>
      </c>
      <c r="W28" s="54">
        <f t="shared" si="37"/>
      </c>
      <c r="X28" s="55">
        <f t="shared" si="45"/>
      </c>
      <c r="Y28" s="53">
        <f t="shared" si="6"/>
      </c>
      <c r="Z28" s="54">
        <f t="shared" si="16"/>
      </c>
      <c r="AA28" s="55">
        <f t="shared" si="46"/>
      </c>
      <c r="AB28" s="53">
        <f t="shared" si="7"/>
      </c>
      <c r="AC28" s="58">
        <f t="shared" si="25"/>
      </c>
      <c r="AD28" s="55">
        <f t="shared" si="47"/>
      </c>
      <c r="AE28" s="71">
        <f t="shared" si="8"/>
      </c>
      <c r="AF28" s="71">
        <f t="shared" si="9"/>
      </c>
      <c r="AG28" s="71">
        <f t="shared" si="10"/>
      </c>
      <c r="AH28" s="68"/>
      <c r="AI28" s="68"/>
      <c r="AJ28" s="68" t="s">
        <v>24</v>
      </c>
      <c r="AK28" s="68" t="s">
        <v>21</v>
      </c>
      <c r="AL28" s="68" t="s">
        <v>21</v>
      </c>
      <c r="AM28" s="68" t="s">
        <v>21</v>
      </c>
      <c r="AN28" s="72">
        <f t="shared" si="14"/>
      </c>
      <c r="AO28" s="72">
        <f t="shared" si="48"/>
      </c>
      <c r="AP28" s="72">
        <f t="shared" si="52"/>
      </c>
      <c r="AQ28" s="72">
        <f t="shared" si="29"/>
      </c>
      <c r="AR28" s="72">
        <f t="shared" si="38"/>
      </c>
      <c r="AS28" s="72">
        <f t="shared" si="17"/>
      </c>
      <c r="AT28" s="61">
        <f t="shared" si="26"/>
      </c>
      <c r="AU28" s="61">
        <f t="shared" si="11"/>
      </c>
      <c r="AV28" s="61">
        <f t="shared" si="15"/>
      </c>
      <c r="AW28" s="62">
        <f t="shared" si="49"/>
      </c>
      <c r="AX28" s="73">
        <f t="shared" si="53"/>
      </c>
      <c r="AY28" s="73">
        <f t="shared" si="54"/>
      </c>
      <c r="AZ28" s="73">
        <f t="shared" si="55"/>
      </c>
      <c r="BA28" s="73">
        <f t="shared" si="56"/>
      </c>
      <c r="BB28" s="73">
        <f t="shared" si="57"/>
      </c>
      <c r="BC28" s="72">
        <f t="shared" si="30"/>
      </c>
      <c r="BD28" s="72">
        <f t="shared" si="31"/>
      </c>
      <c r="BE28" s="72">
        <f t="shared" si="32"/>
      </c>
      <c r="BF28" s="72">
        <f t="shared" si="33"/>
      </c>
      <c r="BG28" s="72">
        <f t="shared" si="34"/>
      </c>
      <c r="BH28" s="64">
        <f t="shared" si="39"/>
      </c>
    </row>
    <row customHeight="true" ht="13" r="29">
      <c r="A29" s="45" cm="1">
        <f t="array" ref="A29:A29">_xlfn.XLOOKUP(C29,'产品基础信息'!B:B,'产品基础信息'!C:C)</f>
      </c>
      <c r="B29" s="46" t="s">
        <v>101</v>
      </c>
      <c r="C29" s="47" t="s">
        <v>105</v>
      </c>
      <c r="D29" s="48" t="s">
        <v>96</v>
      </c>
      <c r="E29" s="49">
        <f>SUM('历史月度销量'!AZ15:BE15)</f>
      </c>
      <c r="F29" s="50">
        <f t="shared" si="1"/>
      </c>
      <c r="G29" s="51">
        <f t="shared" si="36"/>
      </c>
      <c r="H29" s="82">
        <f t="shared" si="18"/>
      </c>
      <c r="I29" s="51">
        <f t="shared" si="24"/>
      </c>
      <c r="J29" s="83">
        <v>0</v>
      </c>
      <c r="K29" s="51">
        <v>0.68</v>
      </c>
      <c r="L29" s="51">
        <v>1.15</v>
      </c>
      <c r="M29" s="53">
        <f t="shared" si="2"/>
      </c>
      <c r="N29" s="54">
        <f t="shared" si="13"/>
      </c>
      <c r="O29" s="55">
        <f t="shared" si="42"/>
      </c>
      <c r="P29" s="53">
        <f t="shared" si="3"/>
      </c>
      <c r="Q29" s="56">
        <f t="shared" si="51"/>
      </c>
      <c r="R29" s="57">
        <f t="shared" si="43"/>
      </c>
      <c r="S29" s="53">
        <f t="shared" si="4"/>
      </c>
      <c r="T29" s="54">
        <f t="shared" si="28"/>
      </c>
      <c r="U29" s="55">
        <f t="shared" si="44"/>
      </c>
      <c r="V29" s="53">
        <f t="shared" si="5"/>
      </c>
      <c r="W29" s="54">
        <f t="shared" si="37"/>
      </c>
      <c r="X29" s="55">
        <f t="shared" si="45"/>
      </c>
      <c r="Y29" s="53">
        <f t="shared" si="6"/>
      </c>
      <c r="Z29" s="54">
        <f t="shared" si="16"/>
      </c>
      <c r="AA29" s="55">
        <f t="shared" si="46"/>
      </c>
      <c r="AB29" s="53">
        <f t="shared" si="7"/>
      </c>
      <c r="AC29" s="58">
        <f t="shared" si="25"/>
      </c>
      <c r="AD29" s="55">
        <f t="shared" si="47"/>
      </c>
      <c r="AE29" s="59">
        <f t="shared" si="8"/>
      </c>
      <c r="AF29" s="59">
        <f t="shared" si="9"/>
      </c>
      <c r="AG29" s="59">
        <f t="shared" si="10"/>
      </c>
      <c r="AH29" s="49"/>
      <c r="AI29" s="49"/>
      <c r="AJ29" s="49" t="s">
        <v>24</v>
      </c>
      <c r="AK29" s="49" t="s">
        <v>24</v>
      </c>
      <c r="AL29" s="49" t="s">
        <v>24</v>
      </c>
      <c r="AM29" s="49" t="s">
        <v>24</v>
      </c>
      <c r="AN29" s="60">
        <f t="shared" si="14"/>
      </c>
      <c r="AO29" s="60">
        <f t="shared" si="48"/>
      </c>
      <c r="AP29" s="60">
        <f t="shared" si="52"/>
      </c>
      <c r="AQ29" s="60">
        <f t="shared" si="29"/>
      </c>
      <c r="AR29" s="60">
        <f t="shared" si="38"/>
      </c>
      <c r="AS29" s="60">
        <f t="shared" si="17"/>
      </c>
      <c r="AT29" s="61">
        <f t="shared" si="26"/>
      </c>
      <c r="AU29" s="61">
        <f t="shared" si="11"/>
      </c>
      <c r="AV29" s="61">
        <f t="shared" si="15"/>
      </c>
      <c r="AW29" s="62">
        <f t="shared" si="49"/>
      </c>
      <c r="AX29" s="63">
        <f t="shared" si="53"/>
      </c>
      <c r="AY29" s="63">
        <f t="shared" si="54"/>
      </c>
      <c r="AZ29" s="63">
        <f t="shared" si="55"/>
      </c>
      <c r="BA29" s="63">
        <f t="shared" si="56"/>
      </c>
      <c r="BB29" s="63">
        <f t="shared" si="57"/>
      </c>
      <c r="BC29" s="60">
        <f t="shared" si="30"/>
      </c>
      <c r="BD29" s="60">
        <f t="shared" si="31"/>
      </c>
      <c r="BE29" s="60">
        <f t="shared" si="32"/>
      </c>
      <c r="BF29" s="60">
        <f t="shared" si="33"/>
      </c>
      <c r="BG29" s="60">
        <f t="shared" si="34"/>
      </c>
      <c r="BH29" s="64">
        <f t="shared" si="39"/>
      </c>
    </row>
    <row customHeight="true" ht="13" r="30">
      <c r="A30" s="5"/>
      <c r="B30" s="4"/>
      <c r="C30" s="4"/>
      <c r="D30" s="3"/>
      <c r="E30" s="3"/>
      <c r="F30" s="3"/>
      <c r="G30" s="3"/>
      <c r="H30" s="3"/>
      <c r="I30" s="3"/>
      <c r="J30" s="4"/>
      <c r="K30" s="85"/>
      <c r="L30" s="4"/>
      <c r="M30" s="4"/>
      <c r="N30" s="4"/>
      <c r="O30" s="4"/>
      <c r="P30" s="4"/>
      <c r="Q30" s="3"/>
      <c r="R30" s="3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5"/>
      <c r="AQ30" s="5"/>
      <c r="AR30" s="5"/>
      <c r="AS30" s="5"/>
      <c r="AT30" s="6"/>
      <c r="AU30" s="6"/>
      <c r="AV30" s="6"/>
      <c r="AW30" s="6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</row>
    <row customHeight="true" ht="13" r="31">
      <c r="A31" s="5"/>
      <c r="B31" s="4"/>
      <c r="C31" s="4"/>
      <c r="D31" s="3"/>
      <c r="E31" s="3"/>
      <c r="F31" s="3"/>
      <c r="G31" s="3"/>
      <c r="H31" s="3"/>
      <c r="I31" s="3"/>
      <c r="J31" s="4"/>
      <c r="K31" s="3"/>
      <c r="L31" s="4"/>
      <c r="M31" s="4"/>
      <c r="N31" s="4"/>
      <c r="O31" s="4"/>
      <c r="P31" s="4"/>
      <c r="Q31" s="3"/>
      <c r="R31" s="3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5"/>
      <c r="AQ31" s="5"/>
      <c r="AR31" s="5"/>
      <c r="AS31" s="5"/>
      <c r="AT31" s="6"/>
      <c r="AU31" s="6"/>
      <c r="AV31" s="6"/>
      <c r="AW31" s="6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</row>
    <row customHeight="true" ht="13" r="32">
      <c r="A32" s="5"/>
      <c r="B32" s="4" t="s">
        <v>106</v>
      </c>
      <c r="C32" s="4"/>
      <c r="D32" s="3"/>
      <c r="E32" s="3"/>
      <c r="F32" s="3"/>
      <c r="G32" s="3"/>
      <c r="H32" s="3"/>
      <c r="I32" s="3"/>
      <c r="J32" s="4"/>
      <c r="K32" s="3"/>
      <c r="L32" s="4"/>
      <c r="M32" s="4"/>
      <c r="N32" s="4"/>
      <c r="O32" s="4"/>
      <c r="P32" s="4"/>
      <c r="Q32" s="3"/>
      <c r="R32" s="3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5"/>
      <c r="AQ32" s="5"/>
      <c r="AR32" s="5"/>
      <c r="AS32" s="5"/>
      <c r="AT32" s="6"/>
      <c r="AU32" s="6"/>
      <c r="AV32" s="6"/>
      <c r="AW32" s="6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</row>
    <row customHeight="true" ht="30" r="33">
      <c r="A33" s="40" t="s">
        <v>31</v>
      </c>
      <c r="B33" s="86" t="s">
        <v>32</v>
      </c>
      <c r="C33" s="86" t="s">
        <v>107</v>
      </c>
      <c r="D33" s="87" t="s">
        <v>108</v>
      </c>
      <c r="E33" s="86" t="s">
        <v>109</v>
      </c>
      <c r="F33" s="86" t="s">
        <v>110</v>
      </c>
      <c r="G33" s="86" t="s">
        <v>111</v>
      </c>
      <c r="H33" s="86" t="s">
        <v>112</v>
      </c>
      <c r="I33" s="86" t="s">
        <v>113</v>
      </c>
      <c r="J33" s="86" t="s">
        <v>114</v>
      </c>
      <c r="K33" s="86" t="s">
        <v>115</v>
      </c>
      <c r="L33" s="86" t="s">
        <v>116</v>
      </c>
      <c r="M33" s="86" t="s">
        <v>117</v>
      </c>
      <c r="N33" s="86" t="s">
        <v>118</v>
      </c>
      <c r="O33" s="86" t="s">
        <v>119</v>
      </c>
      <c r="P33" s="86" t="s">
        <v>120</v>
      </c>
      <c r="Q33" s="86" t="s">
        <v>121</v>
      </c>
      <c r="R33" s="86" t="s">
        <v>122</v>
      </c>
      <c r="S33" s="86" t="s">
        <v>123</v>
      </c>
      <c r="T33" s="86" t="s">
        <v>124</v>
      </c>
      <c r="U33" s="88">
        <v>46174</v>
      </c>
      <c r="V33" s="89" t="s">
        <v>125</v>
      </c>
      <c r="W33" s="86" t="s">
        <v>126</v>
      </c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5"/>
      <c r="AQ33" s="5"/>
      <c r="AR33" s="5"/>
      <c r="AS33" s="5"/>
      <c r="AT33" s="6"/>
      <c r="AU33" s="6"/>
      <c r="AV33" s="6"/>
      <c r="AW33" s="6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</row>
    <row customHeight="true" ht="13" r="34">
      <c r="A34" s="45" cm="1">
        <f t="array" ref="A34:A34">_xlfn.XLOOKUP(C34,'产品基础信息'!B:B,'产品基础信息'!C:C)</f>
      </c>
      <c r="B34" s="46" t="s">
        <v>89</v>
      </c>
      <c r="C34" s="90" t="s">
        <v>90</v>
      </c>
      <c r="D34" s="91">
        <f>'历史月度销量'!AZ3</f>
      </c>
      <c r="E34" s="91">
        <f>'历史月度销量'!BA3</f>
      </c>
      <c r="F34" s="91">
        <f>'历史月度销量'!BB3</f>
      </c>
      <c r="G34" s="91">
        <f>'历史月度销量'!BC3</f>
      </c>
      <c r="H34" s="91">
        <f>'历史月度销量'!BD3</f>
      </c>
      <c r="I34" s="91">
        <f>'历史月度销量'!BE3</f>
      </c>
      <c r="J34" s="91">
        <f>'历史月度销量'!BF3</f>
      </c>
      <c r="K34" s="91">
        <f>'历史月度销量'!BG3</f>
      </c>
      <c r="L34" s="91">
        <f>'历史月度销量'!BH3</f>
      </c>
      <c r="M34" s="91">
        <f>'历史月度销量'!BI3</f>
      </c>
      <c r="N34" s="91">
        <f>'历史月度销量'!BJ3</f>
      </c>
      <c r="O34" s="91">
        <f>'历史月度销量'!BK3</f>
      </c>
      <c r="P34" s="91">
        <f>'历史月度销量'!BL3</f>
      </c>
      <c r="Q34" s="91">
        <f>'历史月度销量'!BM3</f>
      </c>
      <c r="R34" s="91">
        <f>'历史月度销量'!BN3</f>
      </c>
      <c r="S34" s="91">
        <f>'历史月度销量'!BO3</f>
      </c>
      <c r="T34" s="91">
        <f>'历史月度销量'!BP3</f>
      </c>
      <c r="U34" s="91">
        <f t="shared" ref="U34:U41" si="12">W34*0.87</f>
      </c>
      <c r="V34" s="92" cm="1">
        <f t="array" ref="V34:V34">_xlfn.XLOOKUP(C34,'26年实际销量'!A:A,'26年实际销量'!X:X)</f>
      </c>
      <c r="W34" s="93">
        <v>7492</v>
      </c>
      <c r="X34" s="94">
        <f t="shared" ref="X34:X46" si="50">ROUND(I34/H34*T34,0)</f>
      </c>
      <c r="Y34" s="95">
        <f t="shared" ref="Y34:Y43" si="58">(U34-T34)/T34</f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5"/>
      <c r="AQ34" s="5"/>
      <c r="AR34" s="5"/>
      <c r="AS34" s="5"/>
      <c r="AT34" s="6"/>
      <c r="AU34" s="6"/>
      <c r="AV34" s="6"/>
      <c r="AW34" s="6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</row>
    <row customHeight="true" ht="13" r="35">
      <c r="A35" s="45" cm="1">
        <f t="array" ref="A35:A35">_xlfn.XLOOKUP(C35,'产品基础信息'!B:B,'产品基础信息'!C:C)</f>
      </c>
      <c r="B35" s="65" t="s">
        <v>89</v>
      </c>
      <c r="C35" s="90" t="s">
        <v>92</v>
      </c>
      <c r="D35" s="91">
        <f>'历史月度销量'!AZ4</f>
      </c>
      <c r="E35" s="91">
        <f>'历史月度销量'!BA4</f>
      </c>
      <c r="F35" s="91">
        <f>'历史月度销量'!BB4</f>
      </c>
      <c r="G35" s="91">
        <f>'历史月度销量'!BC4</f>
      </c>
      <c r="H35" s="91">
        <f>'历史月度销量'!BD4</f>
      </c>
      <c r="I35" s="91">
        <f>'历史月度销量'!BE4</f>
      </c>
      <c r="J35" s="91">
        <f>'历史月度销量'!BF4</f>
      </c>
      <c r="K35" s="91">
        <f>'历史月度销量'!BG4</f>
      </c>
      <c r="L35" s="91">
        <f>'历史月度销量'!BH4</f>
      </c>
      <c r="M35" s="91">
        <f>'历史月度销量'!BI4</f>
      </c>
      <c r="N35" s="91">
        <f>'历史月度销量'!BJ4</f>
      </c>
      <c r="O35" s="91">
        <f>'历史月度销量'!BK4</f>
      </c>
      <c r="P35" s="91">
        <f>'历史月度销量'!BL4</f>
      </c>
      <c r="Q35" s="91">
        <f>'历史月度销量'!BM4</f>
      </c>
      <c r="R35" s="91">
        <f>'历史月度销量'!BN4</f>
      </c>
      <c r="S35" s="91">
        <f>'历史月度销量'!BO4</f>
      </c>
      <c r="T35" s="91">
        <f>'历史月度销量'!BP4</f>
      </c>
      <c r="U35" s="91">
        <f t="shared" si="12"/>
      </c>
      <c r="V35" s="96" cm="1">
        <f t="array" ref="V35:V35">_xlfn.XLOOKUP(C35,'26年实际销量'!A:A,'26年实际销量'!X:X)</f>
      </c>
      <c r="W35" s="97">
        <v>9323</v>
      </c>
      <c r="X35" s="94">
        <f t="shared" si="50"/>
      </c>
      <c r="Y35" s="95">
        <f t="shared" si="58"/>
      </c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5"/>
      <c r="AQ35" s="5"/>
      <c r="AR35" s="5"/>
      <c r="AS35" s="5"/>
      <c r="AT35" s="6"/>
      <c r="AU35" s="6"/>
      <c r="AV35" s="6"/>
      <c r="AW35" s="6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</row>
    <row customHeight="true" ht="13" r="36">
      <c r="A36" s="45" cm="1">
        <f t="array" ref="A36:A36">_xlfn.XLOOKUP(C36,'产品基础信息'!B:B,'产品基础信息'!C:C)</f>
      </c>
      <c r="B36" s="46" t="s">
        <v>89</v>
      </c>
      <c r="C36" s="90" t="s">
        <v>93</v>
      </c>
      <c r="D36" s="91">
        <f>'历史月度销量'!AZ5</f>
      </c>
      <c r="E36" s="91">
        <f>'历史月度销量'!BA5</f>
      </c>
      <c r="F36" s="91">
        <f>'历史月度销量'!BB5</f>
      </c>
      <c r="G36" s="91">
        <f>'历史月度销量'!BC5</f>
      </c>
      <c r="H36" s="91">
        <f>'历史月度销量'!BD5</f>
      </c>
      <c r="I36" s="91">
        <f>'历史月度销量'!BE5</f>
      </c>
      <c r="J36" s="91">
        <f>'历史月度销量'!BF5</f>
      </c>
      <c r="K36" s="91">
        <f>'历史月度销量'!BG5</f>
      </c>
      <c r="L36" s="91">
        <f>'历史月度销量'!BH5</f>
      </c>
      <c r="M36" s="91">
        <f>'历史月度销量'!BI5</f>
      </c>
      <c r="N36" s="91">
        <f>'历史月度销量'!BJ5</f>
      </c>
      <c r="O36" s="91">
        <f>'历史月度销量'!BK5</f>
      </c>
      <c r="P36" s="91">
        <f>'历史月度销量'!BL5</f>
      </c>
      <c r="Q36" s="91">
        <f>'历史月度销量'!BM5</f>
      </c>
      <c r="R36" s="91">
        <f>'历史月度销量'!BN5</f>
      </c>
      <c r="S36" s="91">
        <f>'历史月度销量'!BO5</f>
      </c>
      <c r="T36" s="91">
        <f>'历史月度销量'!BP5</f>
      </c>
      <c r="U36" s="91">
        <f t="shared" si="12"/>
      </c>
      <c r="V36" s="92" cm="1">
        <f t="array" ref="V36:V36">_xlfn.XLOOKUP(C36,'26年实际销量'!A:A,'26年实际销量'!X:X)</f>
      </c>
      <c r="W36" s="93">
        <v>19707</v>
      </c>
      <c r="X36" s="94">
        <f t="shared" si="50"/>
      </c>
      <c r="Y36" s="95">
        <f t="shared" si="58"/>
      </c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5"/>
      <c r="AQ36" s="5"/>
      <c r="AR36" s="5"/>
      <c r="AS36" s="5"/>
      <c r="AT36" s="6"/>
      <c r="AU36" s="6"/>
      <c r="AV36" s="6"/>
      <c r="AW36" s="6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</row>
    <row customHeight="true" ht="13" r="37">
      <c r="A37" s="45" cm="1">
        <f t="array" ref="A37:A37">_xlfn.XLOOKUP(C37,'产品基础信息'!B:B,'产品基础信息'!C:C)</f>
      </c>
      <c r="B37" s="65" t="s">
        <v>89</v>
      </c>
      <c r="C37" s="90" t="s">
        <v>94</v>
      </c>
      <c r="D37" s="91">
        <f>'历史月度销量'!AZ6</f>
      </c>
      <c r="E37" s="91">
        <f>'历史月度销量'!BA6</f>
      </c>
      <c r="F37" s="91">
        <f>'历史月度销量'!BB6</f>
      </c>
      <c r="G37" s="91">
        <f>'历史月度销量'!BC6</f>
      </c>
      <c r="H37" s="91">
        <f>'历史月度销量'!BD6</f>
      </c>
      <c r="I37" s="91">
        <f>'历史月度销量'!BE6</f>
      </c>
      <c r="J37" s="91">
        <f>'历史月度销量'!BF6</f>
      </c>
      <c r="K37" s="91">
        <f>'历史月度销量'!BG6</f>
      </c>
      <c r="L37" s="91">
        <f>'历史月度销量'!BH6</f>
      </c>
      <c r="M37" s="91">
        <f>'历史月度销量'!BI6</f>
      </c>
      <c r="N37" s="91">
        <f>'历史月度销量'!BJ6</f>
      </c>
      <c r="O37" s="91">
        <f>'历史月度销量'!BK6</f>
      </c>
      <c r="P37" s="91">
        <f>'历史月度销量'!BL6</f>
      </c>
      <c r="Q37" s="91">
        <f>'历史月度销量'!BM6</f>
      </c>
      <c r="R37" s="91">
        <f>'历史月度销量'!BN6</f>
      </c>
      <c r="S37" s="91">
        <f>'历史月度销量'!BO6</f>
      </c>
      <c r="T37" s="91">
        <f>'历史月度销量'!BP6</f>
      </c>
      <c r="U37" s="91">
        <f t="shared" si="12"/>
      </c>
      <c r="V37" s="96" cm="1">
        <f t="array" ref="V37:V37">_xlfn.XLOOKUP(C37,'26年实际销量'!A:A,'26年实际销量'!X:X)</f>
      </c>
      <c r="W37" s="97">
        <v>21889</v>
      </c>
      <c r="X37" s="94">
        <f t="shared" si="50"/>
      </c>
      <c r="Y37" s="95">
        <f t="shared" si="58"/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5"/>
      <c r="AQ37" s="5"/>
      <c r="AR37" s="5"/>
      <c r="AS37" s="5"/>
      <c r="AT37" s="6"/>
      <c r="AU37" s="6"/>
      <c r="AV37" s="6"/>
      <c r="AW37" s="6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</row>
    <row customHeight="true" ht="13" r="38">
      <c r="A38" s="45" cm="1">
        <f t="array" ref="A38:A38">_xlfn.XLOOKUP(C38,'产品基础信息'!B:B,'产品基础信息'!C:C)</f>
      </c>
      <c r="B38" s="46" t="s">
        <v>89</v>
      </c>
      <c r="C38" s="90" t="s">
        <v>95</v>
      </c>
      <c r="D38" s="91">
        <f>'历史月度销量'!AZ7</f>
      </c>
      <c r="E38" s="91">
        <f>'历史月度销量'!BA7</f>
      </c>
      <c r="F38" s="91">
        <f>'历史月度销量'!BB7</f>
      </c>
      <c r="G38" s="91">
        <f>'历史月度销量'!BC7</f>
      </c>
      <c r="H38" s="91">
        <f>'历史月度销量'!BD7</f>
      </c>
      <c r="I38" s="91">
        <f>'历史月度销量'!BE7</f>
      </c>
      <c r="J38" s="91">
        <f>'历史月度销量'!BF7</f>
      </c>
      <c r="K38" s="91">
        <f>'历史月度销量'!BG7</f>
      </c>
      <c r="L38" s="91">
        <f>'历史月度销量'!BH7</f>
      </c>
      <c r="M38" s="91">
        <f>'历史月度销量'!BI7</f>
      </c>
      <c r="N38" s="91">
        <f>'历史月度销量'!BJ7</f>
      </c>
      <c r="O38" s="91">
        <f>'历史月度销量'!BK7</f>
      </c>
      <c r="P38" s="91">
        <f>'历史月度销量'!BL7</f>
      </c>
      <c r="Q38" s="91">
        <f>'历史月度销量'!BM7</f>
      </c>
      <c r="R38" s="91">
        <f>'历史月度销量'!BN7</f>
      </c>
      <c r="S38" s="91">
        <f>'历史月度销量'!BO7</f>
      </c>
      <c r="T38" s="91">
        <f>'历史月度销量'!BP7</f>
      </c>
      <c r="U38" s="91">
        <f t="shared" si="12"/>
      </c>
      <c r="V38" s="92" cm="1">
        <f t="array" ref="V38:V38">_xlfn.XLOOKUP(C38,'26年实际销量'!A:A,'26年实际销量'!X:X)</f>
      </c>
      <c r="W38" s="93">
        <v>1390</v>
      </c>
      <c r="X38" s="94">
        <f t="shared" si="50"/>
      </c>
      <c r="Y38" s="95">
        <f t="shared" si="58"/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5"/>
      <c r="AQ38" s="5"/>
      <c r="AR38" s="5"/>
      <c r="AS38" s="5"/>
      <c r="AT38" s="6"/>
      <c r="AU38" s="6"/>
      <c r="AV38" s="6"/>
      <c r="AW38" s="6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</row>
    <row customHeight="true" ht="13" r="39">
      <c r="A39" s="45" cm="1">
        <f t="array" ref="A39:A39">_xlfn.XLOOKUP(C39,'产品基础信息'!B:B,'产品基础信息'!C:C)</f>
      </c>
      <c r="B39" s="65" t="s">
        <v>89</v>
      </c>
      <c r="C39" s="90" t="s">
        <v>97</v>
      </c>
      <c r="D39" s="91">
        <f>'历史月度销量'!AZ8</f>
      </c>
      <c r="E39" s="91">
        <f>'历史月度销量'!BA8</f>
      </c>
      <c r="F39" s="91">
        <f>'历史月度销量'!BB8</f>
      </c>
      <c r="G39" s="91">
        <f>'历史月度销量'!BC8</f>
      </c>
      <c r="H39" s="91">
        <f>'历史月度销量'!BD8</f>
      </c>
      <c r="I39" s="91">
        <f>'历史月度销量'!BE8</f>
      </c>
      <c r="J39" s="91">
        <f>'历史月度销量'!BF8</f>
      </c>
      <c r="K39" s="91">
        <f>'历史月度销量'!BG8</f>
      </c>
      <c r="L39" s="91">
        <f>'历史月度销量'!BH8</f>
      </c>
      <c r="M39" s="91">
        <f>'历史月度销量'!BI8</f>
      </c>
      <c r="N39" s="91">
        <f>'历史月度销量'!BJ8</f>
      </c>
      <c r="O39" s="91">
        <f>'历史月度销量'!BK8</f>
      </c>
      <c r="P39" s="91">
        <f>'历史月度销量'!BL8</f>
      </c>
      <c r="Q39" s="91">
        <f>'历史月度销量'!BM8</f>
      </c>
      <c r="R39" s="91">
        <f>'历史月度销量'!BN8</f>
      </c>
      <c r="S39" s="91">
        <f>'历史月度销量'!BO8</f>
      </c>
      <c r="T39" s="91">
        <f>'历史月度销量'!BP8</f>
      </c>
      <c r="U39" s="91">
        <f t="shared" si="12"/>
      </c>
      <c r="V39" s="96" cm="1">
        <f t="array" ref="V39:V39">_xlfn.XLOOKUP(C39,'26年实际销量'!A:A,'26年实际销量'!X:X)</f>
      </c>
      <c r="W39" s="97">
        <v>1897</v>
      </c>
      <c r="X39" s="94">
        <f t="shared" si="50"/>
      </c>
      <c r="Y39" s="95">
        <f t="shared" si="58"/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5"/>
      <c r="AQ39" s="5"/>
      <c r="AR39" s="5"/>
      <c r="AS39" s="5"/>
      <c r="AT39" s="6"/>
      <c r="AU39" s="6"/>
      <c r="AV39" s="6"/>
      <c r="AW39" s="6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</row>
    <row customHeight="true" ht="13" r="40">
      <c r="A40" s="45" cm="1">
        <f t="array" ref="A40:A40">_xlfn.XLOOKUP(C40,'产品基础信息'!B:B,'产品基础信息'!C:C)</f>
      </c>
      <c r="B40" s="46" t="s">
        <v>89</v>
      </c>
      <c r="C40" s="90" t="s">
        <v>98</v>
      </c>
      <c r="D40" s="91">
        <f>'历史月度销量'!AZ9</f>
      </c>
      <c r="E40" s="91">
        <f>'历史月度销量'!BA9</f>
      </c>
      <c r="F40" s="91">
        <f>'历史月度销量'!BB9</f>
      </c>
      <c r="G40" s="91">
        <f>'历史月度销量'!BC9</f>
      </c>
      <c r="H40" s="91">
        <f>'历史月度销量'!BD9</f>
      </c>
      <c r="I40" s="91">
        <f>'历史月度销量'!BE9</f>
      </c>
      <c r="J40" s="91">
        <f>'历史月度销量'!BF9</f>
      </c>
      <c r="K40" s="91">
        <f>'历史月度销量'!BG9</f>
      </c>
      <c r="L40" s="91">
        <f>'历史月度销量'!BH9</f>
      </c>
      <c r="M40" s="91">
        <f>'历史月度销量'!BI9</f>
      </c>
      <c r="N40" s="91">
        <f>'历史月度销量'!BJ9</f>
      </c>
      <c r="O40" s="91">
        <f>'历史月度销量'!BK9</f>
      </c>
      <c r="P40" s="91">
        <f>'历史月度销量'!BL9</f>
      </c>
      <c r="Q40" s="91">
        <f>'历史月度销量'!BM9</f>
      </c>
      <c r="R40" s="91">
        <f>'历史月度销量'!BN9</f>
      </c>
      <c r="S40" s="91">
        <f>'历史月度销量'!BO9</f>
      </c>
      <c r="T40" s="91">
        <f>'历史月度销量'!BP9</f>
      </c>
      <c r="U40" s="91">
        <f t="shared" si="12"/>
      </c>
      <c r="V40" s="92" cm="1">
        <f t="array" ref="V40:V40">_xlfn.XLOOKUP(C40,'26年实际销量'!A:A,'26年实际销量'!X:X)</f>
      </c>
      <c r="W40" s="93">
        <v>1599</v>
      </c>
      <c r="X40" s="94">
        <f t="shared" si="50"/>
      </c>
      <c r="Y40" s="95">
        <f t="shared" si="58"/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5"/>
      <c r="AQ40" s="5"/>
      <c r="AR40" s="5"/>
      <c r="AS40" s="5"/>
      <c r="AT40" s="6"/>
      <c r="AU40" s="6"/>
      <c r="AV40" s="6"/>
      <c r="AW40" s="6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</row>
    <row customHeight="true" ht="13" r="41">
      <c r="A41" s="45" cm="1">
        <f t="array" ref="A41:A41">_xlfn.XLOOKUP(C41,'产品基础信息'!B:B,'产品基础信息'!C:C)</f>
      </c>
      <c r="B41" s="65" t="s">
        <v>89</v>
      </c>
      <c r="C41" s="90" t="s">
        <v>99</v>
      </c>
      <c r="D41" s="91">
        <f>'历史月度销量'!AZ10</f>
      </c>
      <c r="E41" s="91">
        <f>'历史月度销量'!BA10</f>
      </c>
      <c r="F41" s="91">
        <f>'历史月度销量'!BB10</f>
      </c>
      <c r="G41" s="91">
        <f>'历史月度销量'!BC10</f>
      </c>
      <c r="H41" s="91">
        <f>'历史月度销量'!BD10</f>
      </c>
      <c r="I41" s="91">
        <f>'历史月度销量'!BE10</f>
      </c>
      <c r="J41" s="91">
        <f>'历史月度销量'!BF10</f>
      </c>
      <c r="K41" s="91">
        <f>'历史月度销量'!BG10</f>
      </c>
      <c r="L41" s="91">
        <f>'历史月度销量'!BH10</f>
      </c>
      <c r="M41" s="91">
        <f>'历史月度销量'!BI10</f>
      </c>
      <c r="N41" s="91">
        <f>'历史月度销量'!BJ10</f>
      </c>
      <c r="O41" s="91">
        <f>'历史月度销量'!BK10</f>
      </c>
      <c r="P41" s="91">
        <f>'历史月度销量'!BL10</f>
      </c>
      <c r="Q41" s="91">
        <f>'历史月度销量'!BM10</f>
      </c>
      <c r="R41" s="91">
        <f>'历史月度销量'!BN10</f>
      </c>
      <c r="S41" s="91">
        <f>'历史月度销量'!BO10</f>
      </c>
      <c r="T41" s="91">
        <f>'历史月度销量'!BP10</f>
      </c>
      <c r="U41" s="91">
        <f t="shared" si="12"/>
      </c>
      <c r="V41" s="96" cm="1">
        <f t="array" ref="V41:V41">_xlfn.XLOOKUP(C41,'26年实际销量'!A:A,'26年实际销量'!X:X)</f>
      </c>
      <c r="W41" s="97">
        <v>1352</v>
      </c>
      <c r="X41" s="94">
        <f t="shared" si="50"/>
      </c>
      <c r="Y41" s="95">
        <f t="shared" si="58"/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5"/>
      <c r="AQ41" s="5"/>
      <c r="AR41" s="5"/>
      <c r="AS41" s="5"/>
      <c r="AT41" s="6"/>
      <c r="AU41" s="6"/>
      <c r="AV41" s="6"/>
      <c r="AW41" s="6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</row>
    <row customHeight="true" ht="13" r="42">
      <c r="A42" s="45" cm="1">
        <f t="array" ref="A42:A42">_xlfn.XLOOKUP(C42,'产品基础信息'!B:B,'产品基础信息'!C:C)</f>
      </c>
      <c r="B42" s="46" t="s">
        <v>89</v>
      </c>
      <c r="C42" s="90" t="s">
        <v>100</v>
      </c>
      <c r="D42" s="91">
        <f>'历史月度销量'!AZ11</f>
      </c>
      <c r="E42" s="91">
        <f>'历史月度销量'!BA11</f>
      </c>
      <c r="F42" s="91">
        <f>'历史月度销量'!BB11</f>
      </c>
      <c r="G42" s="91">
        <f>'历史月度销量'!BC11</f>
      </c>
      <c r="H42" s="91">
        <f>'历史月度销量'!BD11</f>
      </c>
      <c r="I42" s="91">
        <f>'历史月度销量'!BE11</f>
      </c>
      <c r="J42" s="91">
        <f>'历史月度销量'!BF11</f>
      </c>
      <c r="K42" s="91">
        <f>'历史月度销量'!BG11</f>
      </c>
      <c r="L42" s="91">
        <f>'历史月度销量'!BH11</f>
      </c>
      <c r="M42" s="91">
        <f>'历史月度销量'!BI11</f>
      </c>
      <c r="N42" s="91">
        <f>'历史月度销量'!BJ11</f>
      </c>
      <c r="O42" s="91">
        <f>'历史月度销量'!BK11</f>
      </c>
      <c r="P42" s="91">
        <f>'历史月度销量'!BL11</f>
      </c>
      <c r="Q42" s="91">
        <f>'历史月度销量'!BM11</f>
      </c>
      <c r="R42" s="91">
        <f>'历史月度销量'!BN11</f>
      </c>
      <c r="S42" s="91">
        <f>'历史月度销量'!BO11</f>
      </c>
      <c r="T42" s="91">
        <f>'历史月度销量'!BP11</f>
      </c>
      <c r="U42" s="91">
        <f t="shared" ref="U42:U46" si="35">X42</f>
      </c>
      <c r="V42" s="92" cm="1">
        <f t="array" ref="V42:V42">_xlfn.XLOOKUP(C42,'26年实际销量'!A:A,'26年实际销量'!X:X)</f>
      </c>
      <c r="W42" s="93">
        <v>2693</v>
      </c>
      <c r="X42" s="94">
        <f t="shared" si="50"/>
      </c>
      <c r="Y42" s="95">
        <f t="shared" si="58"/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5"/>
      <c r="AQ42" s="5"/>
      <c r="AR42" s="5"/>
      <c r="AS42" s="5"/>
      <c r="AT42" s="6"/>
      <c r="AU42" s="6"/>
      <c r="AV42" s="6"/>
      <c r="AW42" s="6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</row>
    <row customHeight="true" ht="13" r="43">
      <c r="A43" s="45" cm="1">
        <f t="array" ref="A43:A43">_xlfn.XLOOKUP(C43,'产品基础信息'!B:B,'产品基础信息'!C:C)</f>
      </c>
      <c r="B43" s="65" t="s">
        <v>101</v>
      </c>
      <c r="C43" s="90" t="s">
        <v>102</v>
      </c>
      <c r="D43" s="91">
        <f>'历史月度销量'!AZ12</f>
      </c>
      <c r="E43" s="91">
        <f>'历史月度销量'!BA12</f>
      </c>
      <c r="F43" s="91">
        <f>'历史月度销量'!BB12</f>
      </c>
      <c r="G43" s="91">
        <f>'历史月度销量'!BC12</f>
      </c>
      <c r="H43" s="91">
        <f>'历史月度销量'!BD12</f>
      </c>
      <c r="I43" s="91">
        <f>'历史月度销量'!BE12</f>
      </c>
      <c r="J43" s="91">
        <f>'历史月度销量'!BF12</f>
      </c>
      <c r="K43" s="91">
        <f>'历史月度销量'!BG12</f>
      </c>
      <c r="L43" s="91">
        <f>'历史月度销量'!BH12</f>
      </c>
      <c r="M43" s="91">
        <f>'历史月度销量'!BI12</f>
      </c>
      <c r="N43" s="91">
        <f>'历史月度销量'!BJ12</f>
      </c>
      <c r="O43" s="91">
        <f>'历史月度销量'!BK12</f>
      </c>
      <c r="P43" s="91">
        <f>'历史月度销量'!BL12</f>
      </c>
      <c r="Q43" s="91">
        <f>'历史月度销量'!BM12</f>
      </c>
      <c r="R43" s="91">
        <f>'历史月度销量'!BN12</f>
      </c>
      <c r="S43" s="91">
        <f>'历史月度销量'!BO12</f>
      </c>
      <c r="T43" s="91">
        <f>'历史月度销量'!BP12</f>
      </c>
      <c r="U43" s="91">
        <f t="shared" si="35"/>
      </c>
      <c r="V43" s="96" cm="1">
        <f t="array" ref="V43:V43">_xlfn.XLOOKUP(C43,'26年实际销量'!A:A,'26年实际销量'!X:X)</f>
      </c>
      <c r="W43" s="97">
        <v>2568</v>
      </c>
      <c r="X43" s="94">
        <f t="shared" si="50"/>
      </c>
      <c r="Y43" s="95">
        <f t="shared" si="58"/>
      </c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5"/>
      <c r="AQ43" s="5"/>
      <c r="AR43" s="5"/>
      <c r="AS43" s="5"/>
      <c r="AT43" s="6"/>
      <c r="AU43" s="6"/>
      <c r="AV43" s="6"/>
      <c r="AW43" s="6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</row>
    <row customHeight="true" ht="13" r="44">
      <c r="A44" s="45" cm="1">
        <f t="array" ref="A44:A44">_xlfn.XLOOKUP(C44,'产品基础信息'!B:B,'产品基础信息'!C:C)</f>
      </c>
      <c r="B44" s="46" t="s">
        <v>101</v>
      </c>
      <c r="C44" s="90" t="s">
        <v>103</v>
      </c>
      <c r="D44" s="91">
        <f>'历史月度销量'!AZ13</f>
      </c>
      <c r="E44" s="91">
        <f>'历史月度销量'!BA13</f>
      </c>
      <c r="F44" s="91">
        <f>'历史月度销量'!BB13</f>
      </c>
      <c r="G44" s="91">
        <f>'历史月度销量'!BC13</f>
      </c>
      <c r="H44" s="91">
        <f>'历史月度销量'!BD13</f>
      </c>
      <c r="I44" s="91">
        <f>'历史月度销量'!BE13</f>
      </c>
      <c r="J44" s="91">
        <f>'历史月度销量'!BF13</f>
      </c>
      <c r="K44" s="91">
        <f>'历史月度销量'!BG13</f>
      </c>
      <c r="L44" s="91">
        <f>'历史月度销量'!BH13</f>
      </c>
      <c r="M44" s="91">
        <f>'历史月度销量'!BI13</f>
      </c>
      <c r="N44" s="91">
        <f>'历史月度销量'!BJ13</f>
      </c>
      <c r="O44" s="91">
        <f>'历史月度销量'!BK13</f>
      </c>
      <c r="P44" s="91">
        <f>'历史月度销量'!BL13</f>
      </c>
      <c r="Q44" s="91">
        <f>'历史月度销量'!BM13</f>
      </c>
      <c r="R44" s="91">
        <f>'历史月度销量'!BN13</f>
      </c>
      <c r="S44" s="91">
        <f>'历史月度销量'!BO13</f>
      </c>
      <c r="T44" s="91">
        <f>'历史月度销量'!BP13</f>
      </c>
      <c r="U44" s="91">
        <f t="shared" si="35"/>
      </c>
      <c r="V44" s="92" cm="1">
        <f t="array" ref="V44:V44">_xlfn.XLOOKUP(C44,'26年实际销量'!A:A,'26年实际销量'!X:X)</f>
      </c>
      <c r="W44" s="93">
        <v>2120</v>
      </c>
      <c r="X44" s="94">
        <f t="shared" si="50"/>
      </c>
      <c r="Y44" s="95">
        <f t="shared" ref="Y44:Y46" si="40">(X44-T44)/T44</f>
      </c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5"/>
      <c r="AQ44" s="5"/>
      <c r="AR44" s="5"/>
      <c r="AS44" s="5"/>
      <c r="AT44" s="6"/>
      <c r="AU44" s="6"/>
      <c r="AV44" s="6"/>
      <c r="AW44" s="6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</row>
    <row customHeight="true" ht="13" r="45">
      <c r="A45" s="45" cm="1">
        <f t="array" ref="A45:A45">_xlfn.XLOOKUP(C45,'产品基础信息'!B:B,'产品基础信息'!C:C)</f>
      </c>
      <c r="B45" s="65" t="s">
        <v>101</v>
      </c>
      <c r="C45" s="90" t="s">
        <v>104</v>
      </c>
      <c r="D45" s="91">
        <f>'历史月度销量'!AZ14</f>
      </c>
      <c r="E45" s="91">
        <f>'历史月度销量'!BA14</f>
      </c>
      <c r="F45" s="91">
        <f>'历史月度销量'!BB14</f>
      </c>
      <c r="G45" s="91">
        <f>'历史月度销量'!BC14</f>
      </c>
      <c r="H45" s="91">
        <f>'历史月度销量'!BD14</f>
      </c>
      <c r="I45" s="91">
        <f>'历史月度销量'!BE14</f>
      </c>
      <c r="J45" s="91">
        <f>'历史月度销量'!BF14</f>
      </c>
      <c r="K45" s="91">
        <f>'历史月度销量'!BG14</f>
      </c>
      <c r="L45" s="91">
        <f>'历史月度销量'!BH14</f>
      </c>
      <c r="M45" s="91">
        <f>'历史月度销量'!BI14</f>
      </c>
      <c r="N45" s="91">
        <f>'历史月度销量'!BJ14</f>
      </c>
      <c r="O45" s="91">
        <f>'历史月度销量'!BK14</f>
      </c>
      <c r="P45" s="91">
        <f>'历史月度销量'!BL14</f>
      </c>
      <c r="Q45" s="91">
        <f>'历史月度销量'!BM14</f>
      </c>
      <c r="R45" s="91">
        <f>'历史月度销量'!BN14</f>
      </c>
      <c r="S45" s="91">
        <f>'历史月度销量'!BO14</f>
      </c>
      <c r="T45" s="91">
        <f>'历史月度销量'!BP14</f>
      </c>
      <c r="U45" s="91">
        <f t="shared" si="35"/>
      </c>
      <c r="V45" s="96" cm="1">
        <f t="array" ref="V45:V45">_xlfn.XLOOKUP(C45,'26年实际销量'!A:A,'26年实际销量'!X:X)</f>
      </c>
      <c r="W45" s="97">
        <v>1199</v>
      </c>
      <c r="X45" s="94">
        <f t="shared" si="50"/>
      </c>
      <c r="Y45" s="95">
        <f t="shared" si="40"/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5"/>
      <c r="AQ45" s="5"/>
      <c r="AR45" s="5"/>
      <c r="AS45" s="5"/>
      <c r="AT45" s="6"/>
      <c r="AU45" s="6"/>
      <c r="AV45" s="6"/>
      <c r="AW45" s="6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</row>
    <row customHeight="true" ht="13" r="46">
      <c r="A46" s="45" cm="1">
        <f t="array" ref="A46:A46">_xlfn.XLOOKUP(C46,'产品基础信息'!B:B,'产品基础信息'!C:C)</f>
      </c>
      <c r="B46" s="46" t="s">
        <v>101</v>
      </c>
      <c r="C46" s="90" t="s">
        <v>105</v>
      </c>
      <c r="D46" s="91">
        <f>'历史月度销量'!AZ15</f>
      </c>
      <c r="E46" s="91">
        <f>'历史月度销量'!BA15</f>
      </c>
      <c r="F46" s="91">
        <f>'历史月度销量'!BB15</f>
      </c>
      <c r="G46" s="91">
        <f>'历史月度销量'!BC15</f>
      </c>
      <c r="H46" s="91">
        <f>'历史月度销量'!BD15</f>
      </c>
      <c r="I46" s="91">
        <f>'历史月度销量'!BE15</f>
      </c>
      <c r="J46" s="91">
        <f>'历史月度销量'!BF15</f>
      </c>
      <c r="K46" s="91">
        <f>'历史月度销量'!BG15</f>
      </c>
      <c r="L46" s="91">
        <f>'历史月度销量'!BH15</f>
      </c>
      <c r="M46" s="91">
        <f>'历史月度销量'!BI15</f>
      </c>
      <c r="N46" s="91">
        <f>'历史月度销量'!BJ15</f>
      </c>
      <c r="O46" s="91">
        <f>'历史月度销量'!BK15</f>
      </c>
      <c r="P46" s="91">
        <f>'历史月度销量'!BL15</f>
      </c>
      <c r="Q46" s="91">
        <f>'历史月度销量'!BM15</f>
      </c>
      <c r="R46" s="91">
        <f>'历史月度销量'!BN15</f>
      </c>
      <c r="S46" s="91">
        <f>'历史月度销量'!BO15</f>
      </c>
      <c r="T46" s="91">
        <f>'历史月度销量'!BP15</f>
      </c>
      <c r="U46" s="91">
        <f t="shared" si="35"/>
      </c>
      <c r="V46" s="92" cm="1">
        <f t="array" ref="V46:V46">_xlfn.XLOOKUP(C46,'26年实际销量'!A:A,'26年实际销量'!X:X)</f>
      </c>
      <c r="W46" s="93">
        <v>758</v>
      </c>
      <c r="X46" s="94">
        <f t="shared" si="50"/>
      </c>
      <c r="Y46" s="95">
        <f t="shared" si="40"/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5"/>
      <c r="AQ46" s="5"/>
      <c r="AR46" s="5"/>
      <c r="AS46" s="5"/>
      <c r="AT46" s="6"/>
      <c r="AU46" s="6"/>
      <c r="AV46" s="6"/>
      <c r="AW46" s="6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</row>
    <row customHeight="true" ht="13" r="47">
      <c r="A47" s="5"/>
      <c r="B47" s="4"/>
      <c r="C47" s="4"/>
      <c r="D47" s="3"/>
      <c r="E47" s="3"/>
      <c r="F47" s="3"/>
      <c r="G47" s="3"/>
      <c r="H47" s="3"/>
      <c r="I47" s="3"/>
      <c r="J47" s="4"/>
      <c r="K47" s="3"/>
      <c r="L47" s="4"/>
      <c r="M47" s="4"/>
      <c r="N47" s="4"/>
      <c r="O47" s="4"/>
      <c r="P47" s="4"/>
      <c r="Q47" s="3"/>
      <c r="R47" s="3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5"/>
      <c r="AQ47" s="5"/>
      <c r="AR47" s="5"/>
      <c r="AS47" s="5"/>
      <c r="AT47" s="6"/>
      <c r="AU47" s="6"/>
      <c r="AV47" s="6"/>
      <c r="AW47" s="6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</row>
    <row customHeight="true" ht="13" r="48">
      <c r="A48" s="5"/>
      <c r="B48" s="4"/>
      <c r="C48" s="4"/>
      <c r="D48" s="3"/>
      <c r="E48" s="3"/>
      <c r="F48" s="3"/>
      <c r="G48" s="3"/>
      <c r="H48" s="3"/>
      <c r="I48" s="3"/>
      <c r="J48" s="4"/>
      <c r="K48" s="3"/>
      <c r="L48" s="4"/>
      <c r="M48" s="4"/>
      <c r="N48" s="4"/>
      <c r="O48" s="4"/>
      <c r="P48" s="4"/>
      <c r="Q48" s="3"/>
      <c r="R48" s="3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5"/>
      <c r="AQ48" s="5"/>
      <c r="AR48" s="5"/>
      <c r="AS48" s="5"/>
      <c r="AT48" s="6"/>
      <c r="AU48" s="6"/>
      <c r="AV48" s="6"/>
      <c r="AW48" s="6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</row>
    <row customHeight="true" ht="13" r="49">
      <c r="A49" s="5"/>
      <c r="B49" s="4" t="s">
        <v>1</v>
      </c>
      <c r="C49" s="4"/>
      <c r="D49" s="3"/>
      <c r="E49" s="3"/>
      <c r="F49" s="3"/>
      <c r="G49" s="3"/>
      <c r="H49" s="3"/>
      <c r="I49" s="3"/>
      <c r="J49" s="4" t="s">
        <v>22</v>
      </c>
      <c r="K49" s="3"/>
      <c r="L49" s="4"/>
      <c r="M49" s="4"/>
      <c r="N49" s="4"/>
      <c r="O49" s="4"/>
      <c r="P49" s="4"/>
      <c r="Q49" s="3"/>
      <c r="R49" s="3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5"/>
      <c r="AQ49" s="5"/>
      <c r="AR49" s="5"/>
      <c r="AS49" s="5"/>
      <c r="AT49" s="6"/>
      <c r="AU49" s="6"/>
      <c r="AV49" s="6"/>
      <c r="AW49" s="6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</row>
    <row customHeight="true" ht="14" r="50">
      <c r="A50" s="5"/>
      <c r="B50" s="2" t="s">
        <v>127</v>
      </c>
      <c r="C50" s="2"/>
      <c r="D50" s="2"/>
      <c r="E50" s="2"/>
      <c r="F50" s="2"/>
      <c r="G50" s="2"/>
      <c r="H50" s="2"/>
      <c r="I50" s="5"/>
      <c r="J50" s="2" t="s">
        <v>127</v>
      </c>
      <c r="K50" s="2"/>
      <c r="L50" s="2"/>
      <c r="M50" s="2"/>
      <c r="N50" s="2"/>
      <c r="O50" s="2"/>
      <c r="P50" s="2"/>
      <c r="Q50" s="3"/>
      <c r="R50" s="3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5"/>
      <c r="AQ50" s="5"/>
      <c r="AR50" s="5"/>
      <c r="AS50" s="5"/>
      <c r="AT50" s="6"/>
      <c r="AU50" s="6"/>
      <c r="AV50" s="6"/>
      <c r="AW50" s="6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</row>
    <row customHeight="true" ht="14" r="51">
      <c r="A51" s="5"/>
      <c r="B51" s="98" t="s">
        <v>128</v>
      </c>
      <c r="C51" s="99" t="s">
        <v>129</v>
      </c>
      <c r="D51" s="99" t="s">
        <v>130</v>
      </c>
      <c r="E51" s="100" t="s">
        <v>131</v>
      </c>
      <c r="F51" s="100" t="s">
        <v>132</v>
      </c>
      <c r="G51" s="100" t="s">
        <v>133</v>
      </c>
      <c r="H51" s="100" t="s">
        <v>134</v>
      </c>
      <c r="I51" s="5"/>
      <c r="J51" s="101" t="s">
        <v>128</v>
      </c>
      <c r="K51" s="101" t="s">
        <v>129</v>
      </c>
      <c r="L51" s="101" t="s">
        <v>130</v>
      </c>
      <c r="M51" s="101" t="s">
        <v>131</v>
      </c>
      <c r="N51" s="101" t="s">
        <v>132</v>
      </c>
      <c r="O51" s="101" t="s">
        <v>133</v>
      </c>
      <c r="P51" s="101" t="s">
        <v>135</v>
      </c>
      <c r="Q51" s="3"/>
      <c r="R51" s="3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6"/>
      <c r="AU51" s="6"/>
      <c r="AV51" s="6"/>
      <c r="AW51" s="6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</row>
    <row customHeight="true" ht="13" r="52">
      <c r="A52" s="5"/>
      <c r="B52" s="102" t="s">
        <v>136</v>
      </c>
      <c r="C52" s="103">
        <v>84794</v>
      </c>
      <c r="D52" s="103">
        <v>101991</v>
      </c>
      <c r="E52" s="104">
        <v>87343</v>
      </c>
      <c r="F52" s="105">
        <f t="shared" ref="F52:F58" si="19">IFERROR(D52/C52-1,0)</f>
      </c>
      <c r="G52" s="105">
        <f t="shared" ref="G52:G58" si="20">IFERROR(E52/D52-1,0)</f>
      </c>
      <c r="H52" s="105">
        <f t="shared" ref="H52:H57" si="23">$C$4*0.5+G52*0.3+G53*0.2</f>
      </c>
      <c r="I52" s="5"/>
      <c r="J52" s="106" t="s">
        <v>136</v>
      </c>
      <c r="K52" s="107">
        <v>383</v>
      </c>
      <c r="L52" s="107">
        <v>1930</v>
      </c>
      <c r="M52" s="107">
        <v>3271</v>
      </c>
      <c r="N52" s="30">
        <f t="shared" ref="N52:N57" si="21">IFERROR(L52/K52-1,0)</f>
      </c>
      <c r="O52" s="30">
        <f t="shared" ref="O52:O57" si="22">IFERROR(M52/L52-1,0)</f>
      </c>
      <c r="P52" s="108">
        <f t="shared" ref="P52:P56" si="0">$C$8*0.5+0.3*O52+O53*0.25</f>
      </c>
      <c r="Q52" s="3"/>
      <c r="R52" s="3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6"/>
      <c r="AU52" s="6"/>
      <c r="AV52" s="6"/>
      <c r="AW52" s="6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</row>
    <row customHeight="true" ht="13" r="53">
      <c r="A53" s="5"/>
      <c r="B53" s="102" t="s">
        <v>137</v>
      </c>
      <c r="C53" s="103">
        <v>108354</v>
      </c>
      <c r="D53" s="103">
        <v>123187</v>
      </c>
      <c r="E53" s="104">
        <v>109170</v>
      </c>
      <c r="F53" s="109">
        <f t="shared" si="19"/>
      </c>
      <c r="G53" s="109">
        <f t="shared" si="20"/>
      </c>
      <c r="H53" s="105">
        <f t="shared" si="23"/>
      </c>
      <c r="I53" s="5"/>
      <c r="J53" s="106" t="s">
        <v>137</v>
      </c>
      <c r="K53" s="107">
        <v>751</v>
      </c>
      <c r="L53" s="107">
        <v>3132</v>
      </c>
      <c r="M53" s="107">
        <v>3985</v>
      </c>
      <c r="N53" s="110">
        <f t="shared" si="21"/>
      </c>
      <c r="O53" s="30">
        <f t="shared" si="22"/>
      </c>
      <c r="P53" s="108">
        <f t="shared" si="0"/>
      </c>
      <c r="Q53" s="3"/>
      <c r="R53" s="3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6"/>
      <c r="AU53" s="6"/>
      <c r="AV53" s="6"/>
      <c r="AW53" s="6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</row>
    <row customHeight="true" ht="13" r="54">
      <c r="A54" s="5"/>
      <c r="B54" s="102" t="s">
        <v>138</v>
      </c>
      <c r="C54" s="103">
        <v>233983</v>
      </c>
      <c r="D54" s="103">
        <v>255621</v>
      </c>
      <c r="E54" s="104">
        <v>275204</v>
      </c>
      <c r="F54" s="105">
        <f t="shared" si="19"/>
      </c>
      <c r="G54" s="105">
        <f t="shared" si="20"/>
      </c>
      <c r="H54" s="105">
        <f t="shared" si="23"/>
      </c>
      <c r="I54" s="5"/>
      <c r="J54" s="106" t="s">
        <v>138</v>
      </c>
      <c r="K54" s="107">
        <v>1766</v>
      </c>
      <c r="L54" s="107">
        <v>7295</v>
      </c>
      <c r="M54" s="107">
        <v>8218</v>
      </c>
      <c r="N54" s="110">
        <f t="shared" si="21"/>
      </c>
      <c r="O54" s="30">
        <f t="shared" si="22"/>
      </c>
      <c r="P54" s="108">
        <f t="shared" si="0"/>
      </c>
      <c r="Q54" s="3"/>
      <c r="R54" s="3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6"/>
      <c r="AU54" s="6"/>
      <c r="AV54" s="6"/>
      <c r="AW54" s="6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</row>
    <row customHeight="true" ht="13" r="55">
      <c r="A55" s="5"/>
      <c r="B55" s="102" t="s">
        <v>139</v>
      </c>
      <c r="C55" s="103">
        <v>347426</v>
      </c>
      <c r="D55" s="103">
        <v>364728</v>
      </c>
      <c r="E55" s="104">
        <v>369265</v>
      </c>
      <c r="F55" s="109">
        <f t="shared" si="19"/>
      </c>
      <c r="G55" s="109">
        <f t="shared" si="20"/>
      </c>
      <c r="H55" s="105">
        <f t="shared" si="23"/>
      </c>
      <c r="I55" s="5"/>
      <c r="J55" s="106" t="s">
        <v>139</v>
      </c>
      <c r="K55" s="107">
        <v>7129</v>
      </c>
      <c r="L55" s="107">
        <v>18925</v>
      </c>
      <c r="M55" s="107">
        <v>18967</v>
      </c>
      <c r="N55" s="110">
        <f t="shared" si="21"/>
      </c>
      <c r="O55" s="30">
        <f t="shared" si="22"/>
      </c>
      <c r="P55" s="108">
        <f t="shared" si="0"/>
      </c>
      <c r="Q55" s="3"/>
      <c r="R55" s="3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6"/>
      <c r="AU55" s="6"/>
      <c r="AV55" s="6"/>
      <c r="AW55" s="6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</row>
    <row customHeight="true" ht="13" r="56">
      <c r="A56" s="5"/>
      <c r="B56" s="102" t="s">
        <v>140</v>
      </c>
      <c r="C56" s="103">
        <v>449824</v>
      </c>
      <c r="D56" s="103">
        <v>484252</v>
      </c>
      <c r="E56" s="104">
        <v>471247</v>
      </c>
      <c r="F56" s="105">
        <f t="shared" si="19"/>
      </c>
      <c r="G56" s="105">
        <f t="shared" si="20"/>
      </c>
      <c r="H56" s="105">
        <f t="shared" si="23"/>
      </c>
      <c r="I56" s="5"/>
      <c r="J56" s="106" t="s">
        <v>140</v>
      </c>
      <c r="K56" s="107">
        <v>13704</v>
      </c>
      <c r="L56" s="107">
        <v>31783</v>
      </c>
      <c r="M56" s="107">
        <v>50159</v>
      </c>
      <c r="N56" s="110">
        <f t="shared" si="21"/>
      </c>
      <c r="O56" s="30">
        <f t="shared" si="22"/>
      </c>
      <c r="P56" s="108">
        <f t="shared" si="0"/>
      </c>
      <c r="Q56" s="3"/>
      <c r="R56" s="3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6"/>
      <c r="AU56" s="6"/>
      <c r="AV56" s="6"/>
      <c r="AW56" s="6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</row>
    <row customHeight="true" ht="13" r="57">
      <c r="A57" s="5"/>
      <c r="B57" s="102" t="s">
        <v>141</v>
      </c>
      <c r="C57" s="103">
        <v>403338</v>
      </c>
      <c r="D57" s="103">
        <v>451986</v>
      </c>
      <c r="E57" s="111">
        <f>519614*0.87</f>
      </c>
      <c r="F57" s="109">
        <f t="shared" si="19"/>
      </c>
      <c r="G57" s="109">
        <f t="shared" si="20"/>
      </c>
      <c r="H57" s="105">
        <f t="shared" si="23"/>
      </c>
      <c r="I57" s="5"/>
      <c r="J57" s="106" t="s">
        <v>141</v>
      </c>
      <c r="K57" s="107">
        <v>17270</v>
      </c>
      <c r="L57" s="107">
        <v>29302</v>
      </c>
      <c r="M57" s="107">
        <v>44006</v>
      </c>
      <c r="N57" s="110">
        <f t="shared" si="21"/>
      </c>
      <c r="O57" s="30">
        <f t="shared" si="22"/>
      </c>
      <c r="P57" s="108">
        <f>$C$8*0.5+0.5*O57</f>
      </c>
      <c r="Q57" s="3"/>
      <c r="R57" s="3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6"/>
      <c r="AU57" s="6"/>
      <c r="AV57" s="6"/>
      <c r="AW57" s="6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</row>
    <row customHeight="true" ht="13" r="58">
      <c r="A58" s="5"/>
      <c r="B58" s="102" t="s">
        <v>142</v>
      </c>
      <c r="C58" s="103">
        <v>380697</v>
      </c>
      <c r="D58" s="103">
        <v>402639</v>
      </c>
      <c r="E58" s="104">
        <v>328894</v>
      </c>
      <c r="F58" s="105">
        <f t="shared" si="19"/>
      </c>
      <c r="G58" s="105">
        <f t="shared" si="20"/>
      </c>
      <c r="H58" s="105">
        <f>$C$4*0.5+G58*0.3+F58*0.2</f>
      </c>
      <c r="I58" s="112"/>
      <c r="J58" s="5"/>
      <c r="K58" s="113">
        <f>SUM(K52:K57)</f>
      </c>
      <c r="L58" s="113">
        <f>SUM(L52:L57)</f>
      </c>
      <c r="M58" s="113">
        <f>SUM(M52:M57)</f>
      </c>
      <c r="N58" s="5"/>
      <c r="O58" s="5"/>
      <c r="P58" s="5"/>
      <c r="Q58" s="114"/>
      <c r="R58" s="114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6"/>
      <c r="AU58" s="6"/>
      <c r="AV58" s="6"/>
      <c r="AW58" s="6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</row>
    <row r="59">
      <c r="A59" s="5"/>
      <c r="B59" s="5"/>
      <c r="C59" s="5"/>
      <c r="D59" s="112"/>
      <c r="E59" s="112"/>
      <c r="F59" s="112"/>
      <c r="G59" s="112"/>
      <c r="H59" s="112"/>
      <c r="I59" s="112"/>
      <c r="J59" s="5"/>
      <c r="K59" s="112"/>
      <c r="L59" s="5"/>
      <c r="M59" s="5"/>
      <c r="N59" s="5"/>
      <c r="O59" s="5"/>
      <c r="P59" s="5"/>
      <c r="Q59" s="114"/>
      <c r="R59" s="114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6"/>
      <c r="AU59" s="6"/>
      <c r="AV59" s="6"/>
      <c r="AW59" s="6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</row>
    <row r="60">
      <c r="A60" s="5"/>
      <c r="B60" s="5"/>
      <c r="C60" s="5"/>
      <c r="D60" s="112"/>
      <c r="E60" s="112"/>
      <c r="F60" s="112"/>
      <c r="G60" s="112"/>
      <c r="H60" s="112"/>
      <c r="I60" s="112"/>
      <c r="J60" s="5"/>
      <c r="K60" s="112"/>
      <c r="L60" s="5"/>
      <c r="M60" s="5"/>
      <c r="N60" s="5"/>
      <c r="O60" s="5"/>
      <c r="P60" s="5"/>
      <c r="Q60" s="114"/>
      <c r="R60" s="114"/>
      <c r="S60" s="5"/>
      <c r="T60" s="5"/>
      <c r="U60" s="6">
        <f>50000*0.005</f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6"/>
      <c r="AU60" s="6"/>
      <c r="AV60" s="6"/>
      <c r="AW60" s="6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</row>
    <row r="61">
      <c r="A61" s="5"/>
      <c r="B61" s="5"/>
      <c r="C61" s="5"/>
      <c r="D61" s="112"/>
      <c r="E61" s="112"/>
      <c r="F61" s="112"/>
      <c r="G61" s="112"/>
      <c r="H61" s="112"/>
      <c r="I61" s="112"/>
      <c r="J61" s="5"/>
      <c r="K61" s="112"/>
      <c r="L61" s="5"/>
      <c r="M61" s="5"/>
      <c r="N61" s="5"/>
      <c r="O61" s="5"/>
      <c r="P61" s="5"/>
      <c r="Q61" s="114"/>
      <c r="R61" s="114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6"/>
      <c r="AU61" s="6"/>
      <c r="AV61" s="6"/>
      <c r="AW61" s="6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</row>
    <row r="62">
      <c r="A62" s="5"/>
      <c r="B62" s="5"/>
      <c r="C62" s="5"/>
      <c r="D62" s="112"/>
      <c r="E62" s="112"/>
      <c r="F62" s="112"/>
      <c r="G62" s="112"/>
      <c r="H62" s="112"/>
      <c r="I62" s="112"/>
      <c r="J62" s="5"/>
      <c r="K62" s="112"/>
      <c r="L62" s="5"/>
      <c r="M62" s="5"/>
      <c r="N62" s="5"/>
      <c r="O62" s="5"/>
      <c r="P62" s="5"/>
      <c r="Q62" s="114"/>
      <c r="R62" s="114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6"/>
      <c r="AU62" s="6"/>
      <c r="AV62" s="6"/>
      <c r="AW62" s="6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</row>
    <row r="63">
      <c r="A63" s="5"/>
      <c r="B63" s="5"/>
      <c r="C63" s="5"/>
      <c r="D63" s="112"/>
      <c r="E63" s="112"/>
      <c r="F63" s="112"/>
      <c r="G63" s="112"/>
      <c r="H63" s="112"/>
      <c r="I63" s="112"/>
      <c r="J63" s="5"/>
      <c r="K63" s="112"/>
      <c r="L63" s="5"/>
      <c r="M63" s="5"/>
      <c r="N63" s="5"/>
      <c r="O63" s="5"/>
      <c r="P63" s="5"/>
      <c r="Q63" s="114"/>
      <c r="R63" s="114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6"/>
      <c r="AU63" s="6"/>
      <c r="AV63" s="6"/>
      <c r="AW63" s="6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</row>
    <row r="64">
      <c r="A64" s="5"/>
      <c r="B64" s="5"/>
      <c r="C64" s="5"/>
      <c r="D64" s="112"/>
      <c r="E64" s="112"/>
      <c r="F64" s="112"/>
      <c r="G64" s="112"/>
      <c r="H64" s="112"/>
      <c r="I64" s="112"/>
      <c r="J64" s="5"/>
      <c r="K64" s="112"/>
      <c r="L64" s="5"/>
      <c r="M64" s="5"/>
      <c r="N64" s="5"/>
      <c r="O64" s="5"/>
      <c r="P64" s="5"/>
      <c r="Q64" s="114"/>
      <c r="R64" s="114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6"/>
      <c r="AU64" s="6"/>
      <c r="AV64" s="6"/>
      <c r="AW64" s="6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</row>
    <row r="65">
      <c r="A65" s="5"/>
      <c r="B65" s="5"/>
      <c r="C65" s="5"/>
      <c r="D65" s="112"/>
      <c r="E65" s="112"/>
      <c r="F65" s="112"/>
      <c r="G65" s="112"/>
      <c r="H65" s="112"/>
      <c r="I65" s="112"/>
      <c r="J65" s="5"/>
      <c r="K65" s="112"/>
      <c r="L65" s="5"/>
      <c r="M65" s="5"/>
      <c r="N65" s="5"/>
      <c r="O65" s="5"/>
      <c r="P65" s="5"/>
      <c r="Q65" s="114"/>
      <c r="R65" s="114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6"/>
      <c r="AU65" s="6"/>
      <c r="AV65" s="6"/>
      <c r="AW65" s="6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</row>
    <row r="66">
      <c r="A66" s="5"/>
      <c r="B66" s="5"/>
      <c r="C66" s="5"/>
      <c r="D66" s="112"/>
      <c r="E66" s="112"/>
      <c r="F66" s="112"/>
      <c r="G66" s="112"/>
      <c r="H66" s="112"/>
      <c r="I66" s="112"/>
      <c r="J66" s="5"/>
      <c r="K66" s="112"/>
      <c r="L66" s="5"/>
      <c r="M66" s="5"/>
      <c r="N66" s="5"/>
      <c r="O66" s="5"/>
      <c r="P66" s="5"/>
      <c r="Q66" s="114"/>
      <c r="R66" s="114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6"/>
      <c r="AU66" s="6"/>
      <c r="AV66" s="6"/>
      <c r="AW66" s="6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</row>
    <row r="67">
      <c r="A67" s="5"/>
      <c r="B67" s="5"/>
      <c r="C67" s="5"/>
      <c r="D67" s="112"/>
      <c r="E67" s="112"/>
      <c r="F67" s="112"/>
      <c r="G67" s="112"/>
      <c r="H67" s="112"/>
      <c r="I67" s="112"/>
      <c r="J67" s="5"/>
      <c r="K67" s="112"/>
      <c r="L67" s="5"/>
      <c r="M67" s="5"/>
      <c r="N67" s="5"/>
      <c r="O67" s="5"/>
      <c r="P67" s="5"/>
      <c r="Q67" s="114"/>
      <c r="R67" s="114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6"/>
      <c r="AU67" s="6"/>
      <c r="AV67" s="6"/>
      <c r="AW67" s="6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</row>
    <row r="68">
      <c r="A68" s="5"/>
      <c r="B68" s="5"/>
      <c r="C68" s="5"/>
      <c r="D68" s="112"/>
      <c r="E68" s="112"/>
      <c r="F68" s="112"/>
      <c r="G68" s="112"/>
      <c r="H68" s="112"/>
      <c r="I68" s="112"/>
      <c r="J68" s="5"/>
      <c r="K68" s="112"/>
      <c r="L68" s="5"/>
      <c r="M68" s="5"/>
      <c r="N68" s="5"/>
      <c r="O68" s="5"/>
      <c r="P68" s="5"/>
      <c r="Q68" s="114"/>
      <c r="R68" s="114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6"/>
      <c r="AU68" s="6"/>
      <c r="AV68" s="6"/>
      <c r="AW68" s="6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</row>
    <row r="69">
      <c r="A69" s="5"/>
      <c r="B69" s="5"/>
      <c r="C69" s="5"/>
      <c r="D69" s="112"/>
      <c r="E69" s="112"/>
      <c r="F69" s="112"/>
      <c r="G69" s="112"/>
      <c r="H69" s="112"/>
      <c r="I69" s="112"/>
      <c r="J69" s="5"/>
      <c r="K69" s="112"/>
      <c r="L69" s="5"/>
      <c r="M69" s="5"/>
      <c r="N69" s="5"/>
      <c r="O69" s="5"/>
      <c r="P69" s="5"/>
      <c r="Q69" s="114"/>
      <c r="R69" s="114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6"/>
      <c r="AU69" s="6"/>
      <c r="AV69" s="6"/>
      <c r="AW69" s="6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</row>
    <row r="70">
      <c r="A70" s="5"/>
      <c r="B70" s="5"/>
      <c r="C70" s="5"/>
      <c r="D70" s="112"/>
      <c r="E70" s="112"/>
      <c r="F70" s="112"/>
      <c r="G70" s="112"/>
      <c r="H70" s="112"/>
      <c r="I70" s="112"/>
      <c r="J70" s="5"/>
      <c r="K70" s="112"/>
      <c r="L70" s="5"/>
      <c r="M70" s="5"/>
      <c r="N70" s="5"/>
      <c r="O70" s="5"/>
      <c r="P70" s="5"/>
      <c r="Q70" s="114"/>
      <c r="R70" s="114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6"/>
      <c r="AU70" s="6"/>
      <c r="AV70" s="6"/>
      <c r="AW70" s="6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</row>
    <row r="71">
      <c r="A71" s="5"/>
      <c r="B71" s="5"/>
      <c r="C71" s="5"/>
      <c r="D71" s="112"/>
      <c r="E71" s="112"/>
      <c r="F71" s="112"/>
      <c r="G71" s="112"/>
      <c r="H71" s="112"/>
      <c r="I71" s="112"/>
      <c r="J71" s="5"/>
      <c r="K71" s="112"/>
      <c r="L71" s="5"/>
      <c r="M71" s="5"/>
      <c r="N71" s="5"/>
      <c r="O71" s="5"/>
      <c r="P71" s="5"/>
      <c r="Q71" s="114"/>
      <c r="R71" s="114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6"/>
      <c r="AU71" s="6"/>
      <c r="AV71" s="6"/>
      <c r="AW71" s="6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</row>
    <row r="72">
      <c r="A72" s="5"/>
      <c r="B72" s="5"/>
      <c r="C72" s="5"/>
      <c r="D72" s="112"/>
      <c r="E72" s="112"/>
      <c r="F72" s="112"/>
      <c r="G72" s="112"/>
      <c r="H72" s="112"/>
      <c r="I72" s="112"/>
      <c r="J72" s="5"/>
      <c r="K72" s="112"/>
      <c r="L72" s="5"/>
      <c r="M72" s="5"/>
      <c r="N72" s="5"/>
      <c r="O72" s="5"/>
      <c r="P72" s="5"/>
      <c r="Q72" s="114"/>
      <c r="R72" s="114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6"/>
      <c r="AU72" s="6"/>
      <c r="AV72" s="6"/>
      <c r="AW72" s="6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</row>
    <row r="73">
      <c r="A73" s="5"/>
      <c r="B73" s="5"/>
      <c r="C73" s="5"/>
      <c r="D73" s="112"/>
      <c r="E73" s="112"/>
      <c r="F73" s="112"/>
      <c r="G73" s="112"/>
      <c r="H73" s="112"/>
      <c r="I73" s="112"/>
      <c r="J73" s="5"/>
      <c r="K73" s="112"/>
      <c r="L73" s="5"/>
      <c r="M73" s="5"/>
      <c r="N73" s="5"/>
      <c r="O73" s="5"/>
      <c r="P73" s="5"/>
      <c r="Q73" s="114"/>
      <c r="R73" s="114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6"/>
      <c r="AU73" s="6"/>
      <c r="AV73" s="6"/>
      <c r="AW73" s="6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</row>
    <row r="74">
      <c r="A74" s="5"/>
      <c r="B74" s="5"/>
      <c r="C74" s="5"/>
      <c r="D74" s="112"/>
      <c r="E74" s="112"/>
      <c r="F74" s="112"/>
      <c r="G74" s="112"/>
      <c r="H74" s="112"/>
      <c r="I74" s="112"/>
      <c r="J74" s="5"/>
      <c r="K74" s="112"/>
      <c r="L74" s="5"/>
      <c r="M74" s="5"/>
      <c r="N74" s="5"/>
      <c r="O74" s="5"/>
      <c r="P74" s="5"/>
      <c r="Q74" s="114"/>
      <c r="R74" s="114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6"/>
      <c r="AU74" s="6"/>
      <c r="AV74" s="6"/>
      <c r="AW74" s="6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</row>
    <row r="75">
      <c r="A75" s="5"/>
      <c r="B75" s="5"/>
      <c r="C75" s="5"/>
      <c r="D75" s="112"/>
      <c r="E75" s="112"/>
      <c r="F75" s="112"/>
      <c r="G75" s="112"/>
      <c r="H75" s="112"/>
      <c r="I75" s="112"/>
      <c r="J75" s="5"/>
      <c r="K75" s="112"/>
      <c r="L75" s="5"/>
      <c r="M75" s="5"/>
      <c r="N75" s="5"/>
      <c r="O75" s="5"/>
      <c r="P75" s="5"/>
      <c r="Q75" s="114"/>
      <c r="R75" s="114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6"/>
      <c r="AU75" s="6"/>
      <c r="AV75" s="6"/>
      <c r="AW75" s="6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</row>
    <row r="76">
      <c r="A76" s="5"/>
      <c r="B76" s="5"/>
      <c r="C76" s="5"/>
      <c r="D76" s="112"/>
      <c r="E76" s="112"/>
      <c r="F76" s="112"/>
      <c r="G76" s="112"/>
      <c r="H76" s="112"/>
      <c r="I76" s="112"/>
      <c r="J76" s="5"/>
      <c r="K76" s="112"/>
      <c r="L76" s="5"/>
      <c r="M76" s="5"/>
      <c r="N76" s="5"/>
      <c r="O76" s="5"/>
      <c r="P76" s="5"/>
      <c r="Q76" s="114"/>
      <c r="R76" s="114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6"/>
      <c r="AU76" s="6"/>
      <c r="AV76" s="6"/>
      <c r="AW76" s="6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</row>
    <row r="77">
      <c r="A77" s="5"/>
      <c r="B77" s="5"/>
      <c r="C77" s="5"/>
      <c r="D77" s="112"/>
      <c r="E77" s="112"/>
      <c r="F77" s="112"/>
      <c r="G77" s="112"/>
      <c r="H77" s="112"/>
      <c r="I77" s="112"/>
      <c r="J77" s="5"/>
      <c r="K77" s="112"/>
      <c r="L77" s="5"/>
      <c r="M77" s="5"/>
      <c r="N77" s="5"/>
      <c r="O77" s="5"/>
      <c r="P77" s="5"/>
      <c r="Q77" s="114"/>
      <c r="R77" s="114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6"/>
      <c r="AU77" s="6"/>
      <c r="AV77" s="6"/>
      <c r="AW77" s="6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</row>
    <row r="78">
      <c r="A78" s="5"/>
      <c r="B78" s="5"/>
      <c r="C78" s="5"/>
      <c r="D78" s="112"/>
      <c r="E78" s="112"/>
      <c r="F78" s="112"/>
      <c r="G78" s="112"/>
      <c r="H78" s="112"/>
      <c r="I78" s="112"/>
      <c r="J78" s="5"/>
      <c r="K78" s="112"/>
      <c r="L78" s="5"/>
      <c r="M78" s="5"/>
      <c r="N78" s="5"/>
      <c r="O78" s="5"/>
      <c r="P78" s="5"/>
      <c r="Q78" s="114"/>
      <c r="R78" s="114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6"/>
      <c r="AU78" s="6"/>
      <c r="AV78" s="6"/>
      <c r="AW78" s="6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</row>
    <row r="79">
      <c r="A79" s="5"/>
      <c r="B79" s="5"/>
      <c r="C79" s="5"/>
      <c r="D79" s="112"/>
      <c r="E79" s="112"/>
      <c r="F79" s="112"/>
      <c r="G79" s="112"/>
      <c r="H79" s="112"/>
      <c r="I79" s="112"/>
      <c r="J79" s="5"/>
      <c r="K79" s="112"/>
      <c r="L79" s="5"/>
      <c r="M79" s="5"/>
      <c r="N79" s="5"/>
      <c r="O79" s="5"/>
      <c r="P79" s="5"/>
      <c r="Q79" s="114"/>
      <c r="R79" s="114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6"/>
      <c r="AU79" s="6"/>
      <c r="AV79" s="6"/>
      <c r="AW79" s="6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</row>
    <row r="80">
      <c r="A80" s="5"/>
      <c r="B80" s="5"/>
      <c r="C80" s="5"/>
      <c r="D80" s="112"/>
      <c r="E80" s="112"/>
      <c r="F80" s="112"/>
      <c r="G80" s="112"/>
      <c r="H80" s="112"/>
      <c r="I80" s="112"/>
      <c r="J80" s="5"/>
      <c r="K80" s="112"/>
      <c r="L80" s="5"/>
      <c r="M80" s="5"/>
      <c r="N80" s="5"/>
      <c r="O80" s="5"/>
      <c r="P80" s="5"/>
      <c r="Q80" s="114"/>
      <c r="R80" s="114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6"/>
      <c r="AU80" s="6"/>
      <c r="AV80" s="6"/>
      <c r="AW80" s="6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</row>
    <row r="81">
      <c r="A81" s="5"/>
      <c r="B81" s="5"/>
      <c r="C81" s="5"/>
      <c r="D81" s="112"/>
      <c r="E81" s="112"/>
      <c r="F81" s="112"/>
      <c r="G81" s="112"/>
      <c r="H81" s="112"/>
      <c r="I81" s="112"/>
      <c r="J81" s="5"/>
      <c r="K81" s="112"/>
      <c r="L81" s="5"/>
      <c r="M81" s="5"/>
      <c r="N81" s="5"/>
      <c r="O81" s="5"/>
      <c r="P81" s="5"/>
      <c r="Q81" s="114"/>
      <c r="R81" s="114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6"/>
      <c r="AU81" s="6"/>
      <c r="AV81" s="6"/>
      <c r="AW81" s="6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</row>
    <row r="82">
      <c r="A82" s="5"/>
      <c r="B82" s="5"/>
      <c r="C82" s="5"/>
      <c r="D82" s="112"/>
      <c r="E82" s="112"/>
      <c r="F82" s="112"/>
      <c r="G82" s="112"/>
      <c r="H82" s="112"/>
      <c r="I82" s="112"/>
      <c r="J82" s="5"/>
      <c r="K82" s="112"/>
      <c r="L82" s="5"/>
      <c r="M82" s="5"/>
      <c r="N82" s="5"/>
      <c r="O82" s="5"/>
      <c r="P82" s="5"/>
      <c r="Q82" s="114"/>
      <c r="R82" s="114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6"/>
      <c r="AU82" s="6"/>
      <c r="AV82" s="6"/>
      <c r="AW82" s="6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</row>
    <row r="83">
      <c r="A83" s="5"/>
      <c r="B83" s="5"/>
      <c r="C83" s="5"/>
      <c r="D83" s="112"/>
      <c r="E83" s="112"/>
      <c r="F83" s="112"/>
      <c r="G83" s="112"/>
      <c r="H83" s="112"/>
      <c r="I83" s="112"/>
      <c r="J83" s="5"/>
      <c r="K83" s="112"/>
      <c r="L83" s="5"/>
      <c r="M83" s="5"/>
      <c r="N83" s="5"/>
      <c r="O83" s="5"/>
      <c r="P83" s="5"/>
      <c r="Q83" s="114"/>
      <c r="R83" s="114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6"/>
      <c r="AU83" s="6"/>
      <c r="AV83" s="6"/>
      <c r="AW83" s="6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</row>
    <row r="84">
      <c r="A84" s="5"/>
      <c r="B84" s="5"/>
      <c r="C84" s="5"/>
      <c r="D84" s="112"/>
      <c r="E84" s="112"/>
      <c r="F84" s="112"/>
      <c r="G84" s="112"/>
      <c r="H84" s="112"/>
      <c r="I84" s="112"/>
      <c r="J84" s="5"/>
      <c r="K84" s="112"/>
      <c r="L84" s="5"/>
      <c r="M84" s="5"/>
      <c r="N84" s="5"/>
      <c r="O84" s="5"/>
      <c r="P84" s="5"/>
      <c r="Q84" s="114"/>
      <c r="R84" s="114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6"/>
      <c r="AU84" s="6"/>
      <c r="AV84" s="6"/>
      <c r="AW84" s="6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</row>
    <row r="85">
      <c r="A85" s="5"/>
      <c r="B85" s="5"/>
      <c r="C85" s="5"/>
      <c r="D85" s="112"/>
      <c r="E85" s="112"/>
      <c r="F85" s="112"/>
      <c r="G85" s="112"/>
      <c r="H85" s="112"/>
      <c r="I85" s="112"/>
      <c r="J85" s="5"/>
      <c r="K85" s="112"/>
      <c r="L85" s="5"/>
      <c r="M85" s="5"/>
      <c r="N85" s="5"/>
      <c r="O85" s="5"/>
      <c r="P85" s="5"/>
      <c r="Q85" s="114"/>
      <c r="R85" s="114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6"/>
      <c r="AU85" s="6"/>
      <c r="AV85" s="6"/>
      <c r="AW85" s="6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</row>
    <row r="86">
      <c r="A86" s="5"/>
      <c r="B86" s="5"/>
      <c r="C86" s="5"/>
      <c r="D86" s="112"/>
      <c r="E86" s="112"/>
      <c r="F86" s="112"/>
      <c r="G86" s="112"/>
      <c r="H86" s="112"/>
      <c r="I86" s="112"/>
      <c r="J86" s="5"/>
      <c r="K86" s="112"/>
      <c r="L86" s="5"/>
      <c r="M86" s="5"/>
      <c r="N86" s="5"/>
      <c r="O86" s="5"/>
      <c r="P86" s="5"/>
      <c r="Q86" s="114"/>
      <c r="R86" s="114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6"/>
      <c r="AU86" s="6"/>
      <c r="AV86" s="6"/>
      <c r="AW86" s="6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</row>
    <row r="87">
      <c r="A87" s="5"/>
      <c r="B87" s="5"/>
      <c r="C87" s="5"/>
      <c r="D87" s="112"/>
      <c r="E87" s="112"/>
      <c r="F87" s="112"/>
      <c r="G87" s="112"/>
      <c r="H87" s="112"/>
      <c r="I87" s="112"/>
      <c r="J87" s="5"/>
      <c r="K87" s="112"/>
      <c r="L87" s="5"/>
      <c r="M87" s="5"/>
      <c r="N87" s="5"/>
      <c r="O87" s="5"/>
      <c r="P87" s="5"/>
      <c r="Q87" s="114"/>
      <c r="R87" s="114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6"/>
      <c r="AU87" s="6"/>
      <c r="AV87" s="6"/>
      <c r="AW87" s="6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</row>
    <row r="88">
      <c r="A88" s="5"/>
      <c r="B88" s="5"/>
      <c r="C88" s="5"/>
      <c r="D88" s="112"/>
      <c r="E88" s="112"/>
      <c r="F88" s="112"/>
      <c r="G88" s="112"/>
      <c r="H88" s="112"/>
      <c r="I88" s="112"/>
      <c r="J88" s="5"/>
      <c r="K88" s="112"/>
      <c r="L88" s="5"/>
      <c r="M88" s="5"/>
      <c r="N88" s="5"/>
      <c r="O88" s="5"/>
      <c r="P88" s="5"/>
      <c r="Q88" s="114"/>
      <c r="R88" s="114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6"/>
      <c r="AU88" s="6"/>
      <c r="AV88" s="6"/>
      <c r="AW88" s="6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</row>
    <row r="89">
      <c r="A89" s="5"/>
      <c r="B89" s="5"/>
      <c r="C89" s="5"/>
      <c r="D89" s="112"/>
      <c r="E89" s="112"/>
      <c r="F89" s="112"/>
      <c r="G89" s="112"/>
      <c r="H89" s="112"/>
      <c r="I89" s="112"/>
      <c r="J89" s="5"/>
      <c r="K89" s="112"/>
      <c r="L89" s="5"/>
      <c r="M89" s="5"/>
      <c r="N89" s="5"/>
      <c r="O89" s="5"/>
      <c r="P89" s="5"/>
      <c r="Q89" s="114"/>
      <c r="R89" s="114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6"/>
      <c r="AU89" s="6"/>
      <c r="AV89" s="6"/>
      <c r="AW89" s="6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</row>
    <row r="90">
      <c r="A90" s="5"/>
      <c r="B90" s="5"/>
      <c r="C90" s="5"/>
      <c r="D90" s="112"/>
      <c r="E90" s="112"/>
      <c r="F90" s="112"/>
      <c r="G90" s="112"/>
      <c r="H90" s="112"/>
      <c r="I90" s="112"/>
      <c r="J90" s="5"/>
      <c r="K90" s="112"/>
      <c r="L90" s="5"/>
      <c r="M90" s="5"/>
      <c r="N90" s="5"/>
      <c r="O90" s="5"/>
      <c r="P90" s="5"/>
      <c r="Q90" s="114"/>
      <c r="R90" s="114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6"/>
      <c r="AU90" s="6"/>
      <c r="AV90" s="6"/>
      <c r="AW90" s="6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</row>
    <row r="91">
      <c r="A91" s="5"/>
      <c r="B91" s="5"/>
      <c r="C91" s="5"/>
      <c r="D91" s="112"/>
      <c r="E91" s="112"/>
      <c r="F91" s="112"/>
      <c r="G91" s="112"/>
      <c r="H91" s="112"/>
      <c r="I91" s="112"/>
      <c r="J91" s="5"/>
      <c r="K91" s="112"/>
      <c r="L91" s="5"/>
      <c r="M91" s="5"/>
      <c r="N91" s="5"/>
      <c r="O91" s="5"/>
      <c r="P91" s="5"/>
      <c r="Q91" s="114"/>
      <c r="R91" s="114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6"/>
      <c r="AU91" s="6"/>
      <c r="AV91" s="6"/>
      <c r="AW91" s="6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</row>
    <row r="92">
      <c r="A92" s="5"/>
      <c r="B92" s="5"/>
      <c r="C92" s="5"/>
      <c r="D92" s="112"/>
      <c r="E92" s="112"/>
      <c r="F92" s="112"/>
      <c r="G92" s="112"/>
      <c r="H92" s="112"/>
      <c r="I92" s="112"/>
      <c r="J92" s="5"/>
      <c r="K92" s="112"/>
      <c r="L92" s="5"/>
      <c r="M92" s="5"/>
      <c r="N92" s="5"/>
      <c r="O92" s="5"/>
      <c r="P92" s="5"/>
      <c r="Q92" s="114"/>
      <c r="R92" s="114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6"/>
      <c r="AU92" s="6"/>
      <c r="AV92" s="6"/>
      <c r="AW92" s="6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</row>
    <row r="93">
      <c r="A93" s="5"/>
      <c r="B93" s="5"/>
      <c r="C93" s="5"/>
      <c r="D93" s="112"/>
      <c r="E93" s="112"/>
      <c r="F93" s="112"/>
      <c r="G93" s="112"/>
      <c r="H93" s="112"/>
      <c r="I93" s="112"/>
      <c r="J93" s="5"/>
      <c r="K93" s="112"/>
      <c r="L93" s="5"/>
      <c r="M93" s="5"/>
      <c r="N93" s="5"/>
      <c r="O93" s="5"/>
      <c r="P93" s="5"/>
      <c r="Q93" s="114"/>
      <c r="R93" s="114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6"/>
      <c r="AU93" s="6"/>
      <c r="AV93" s="6"/>
      <c r="AW93" s="6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</row>
    <row r="94">
      <c r="A94" s="5"/>
      <c r="B94" s="5"/>
      <c r="C94" s="5"/>
      <c r="D94" s="112"/>
      <c r="E94" s="112"/>
      <c r="F94" s="112"/>
      <c r="G94" s="112"/>
      <c r="H94" s="112"/>
      <c r="I94" s="112"/>
      <c r="J94" s="5"/>
      <c r="K94" s="112"/>
      <c r="L94" s="5"/>
      <c r="M94" s="5"/>
      <c r="N94" s="5"/>
      <c r="O94" s="5"/>
      <c r="P94" s="5"/>
      <c r="Q94" s="114"/>
      <c r="R94" s="114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6"/>
      <c r="AU94" s="6"/>
      <c r="AV94" s="6"/>
      <c r="AW94" s="6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</row>
    <row r="95">
      <c r="A95" s="5"/>
      <c r="B95" s="5"/>
      <c r="C95" s="5"/>
      <c r="D95" s="112"/>
      <c r="E95" s="112"/>
      <c r="F95" s="112"/>
      <c r="G95" s="112"/>
      <c r="H95" s="112"/>
      <c r="I95" s="112"/>
      <c r="J95" s="5"/>
      <c r="K95" s="112"/>
      <c r="L95" s="5"/>
      <c r="M95" s="5"/>
      <c r="N95" s="5"/>
      <c r="O95" s="5"/>
      <c r="P95" s="5"/>
      <c r="Q95" s="114"/>
      <c r="R95" s="114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6"/>
      <c r="AU95" s="6"/>
      <c r="AV95" s="6"/>
      <c r="AW95" s="6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</row>
    <row r="96">
      <c r="A96" s="5"/>
      <c r="B96" s="5"/>
      <c r="C96" s="5"/>
      <c r="D96" s="112"/>
      <c r="E96" s="112"/>
      <c r="F96" s="112"/>
      <c r="G96" s="112"/>
      <c r="H96" s="112"/>
      <c r="I96" s="112"/>
      <c r="J96" s="5"/>
      <c r="K96" s="112"/>
      <c r="L96" s="5"/>
      <c r="M96" s="5"/>
      <c r="N96" s="5"/>
      <c r="O96" s="5"/>
      <c r="P96" s="5"/>
      <c r="Q96" s="114"/>
      <c r="R96" s="114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6"/>
      <c r="AU96" s="6"/>
      <c r="AV96" s="6"/>
      <c r="AW96" s="6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</row>
    <row r="97">
      <c r="A97" s="5"/>
      <c r="B97" s="5"/>
      <c r="C97" s="5"/>
      <c r="D97" s="112"/>
      <c r="E97" s="112"/>
      <c r="F97" s="112"/>
      <c r="G97" s="112"/>
      <c r="H97" s="112"/>
      <c r="I97" s="112"/>
      <c r="J97" s="5"/>
      <c r="K97" s="112"/>
      <c r="L97" s="5"/>
      <c r="M97" s="5"/>
      <c r="N97" s="5"/>
      <c r="O97" s="5"/>
      <c r="P97" s="5"/>
      <c r="Q97" s="114"/>
      <c r="R97" s="114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6"/>
      <c r="AU97" s="6"/>
      <c r="AV97" s="6"/>
      <c r="AW97" s="6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</row>
    <row r="98">
      <c r="A98" s="5"/>
      <c r="B98" s="5"/>
      <c r="C98" s="5"/>
      <c r="D98" s="112"/>
      <c r="E98" s="112"/>
      <c r="F98" s="112"/>
      <c r="G98" s="112"/>
      <c r="H98" s="112"/>
      <c r="I98" s="112"/>
      <c r="J98" s="5"/>
      <c r="K98" s="112"/>
      <c r="L98" s="5"/>
      <c r="M98" s="5"/>
      <c r="N98" s="5"/>
      <c r="O98" s="5"/>
      <c r="P98" s="5"/>
      <c r="Q98" s="114"/>
      <c r="R98" s="114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6"/>
      <c r="AU98" s="6"/>
      <c r="AV98" s="6"/>
      <c r="AW98" s="6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</row>
    <row r="99">
      <c r="A99" s="5"/>
      <c r="B99" s="5"/>
      <c r="C99" s="5"/>
      <c r="D99" s="112"/>
      <c r="E99" s="112"/>
      <c r="F99" s="112"/>
      <c r="G99" s="112"/>
      <c r="H99" s="112"/>
      <c r="I99" s="112"/>
      <c r="J99" s="5"/>
      <c r="K99" s="112"/>
      <c r="L99" s="5"/>
      <c r="M99" s="5"/>
      <c r="N99" s="5"/>
      <c r="O99" s="5"/>
      <c r="P99" s="5"/>
      <c r="Q99" s="114"/>
      <c r="R99" s="114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6"/>
      <c r="AU99" s="6"/>
      <c r="AV99" s="6"/>
      <c r="AW99" s="6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</row>
    <row r="100">
      <c r="A100" s="5"/>
      <c r="B100" s="5"/>
      <c r="C100" s="5"/>
      <c r="D100" s="112"/>
      <c r="E100" s="112"/>
      <c r="F100" s="112"/>
      <c r="G100" s="112"/>
      <c r="H100" s="112"/>
      <c r="I100" s="112"/>
      <c r="J100" s="5"/>
      <c r="K100" s="112"/>
      <c r="L100" s="5"/>
      <c r="M100" s="5"/>
      <c r="N100" s="5"/>
      <c r="O100" s="5"/>
      <c r="P100" s="5"/>
      <c r="Q100" s="114"/>
      <c r="R100" s="114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6"/>
      <c r="AU100" s="6"/>
      <c r="AV100" s="6"/>
      <c r="AW100" s="6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</row>
    <row r="101">
      <c r="A101" s="5"/>
      <c r="B101" s="5"/>
      <c r="C101" s="5"/>
      <c r="D101" s="112"/>
      <c r="E101" s="112"/>
      <c r="F101" s="112"/>
      <c r="G101" s="112"/>
      <c r="H101" s="112"/>
      <c r="I101" s="112"/>
      <c r="J101" s="5"/>
      <c r="K101" s="112"/>
      <c r="L101" s="5"/>
      <c r="M101" s="5"/>
      <c r="N101" s="5"/>
      <c r="O101" s="5"/>
      <c r="P101" s="5"/>
      <c r="Q101" s="114"/>
      <c r="R101" s="114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6"/>
      <c r="AU101" s="6"/>
      <c r="AV101" s="6"/>
      <c r="AW101" s="6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</row>
    <row r="102">
      <c r="A102" s="5"/>
      <c r="B102" s="5"/>
      <c r="C102" s="5"/>
      <c r="D102" s="112"/>
      <c r="E102" s="112"/>
      <c r="F102" s="112"/>
      <c r="G102" s="112"/>
      <c r="H102" s="112"/>
      <c r="I102" s="112"/>
      <c r="J102" s="5"/>
      <c r="K102" s="112"/>
      <c r="L102" s="5"/>
      <c r="M102" s="5"/>
      <c r="N102" s="5"/>
      <c r="O102" s="5"/>
      <c r="P102" s="5"/>
      <c r="Q102" s="114"/>
      <c r="R102" s="114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6"/>
      <c r="AU102" s="6"/>
      <c r="AV102" s="6"/>
      <c r="AW102" s="6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</row>
    <row r="103">
      <c r="A103" s="5"/>
      <c r="B103" s="5"/>
      <c r="C103" s="5"/>
      <c r="D103" s="112"/>
      <c r="E103" s="112"/>
      <c r="F103" s="112"/>
      <c r="G103" s="112"/>
      <c r="H103" s="112"/>
      <c r="I103" s="112"/>
      <c r="J103" s="5"/>
      <c r="K103" s="112"/>
      <c r="L103" s="5"/>
      <c r="M103" s="5"/>
      <c r="N103" s="5"/>
      <c r="O103" s="5"/>
      <c r="P103" s="5"/>
      <c r="Q103" s="114"/>
      <c r="R103" s="114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6"/>
      <c r="AU103" s="6"/>
      <c r="AV103" s="6"/>
      <c r="AW103" s="6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</row>
    <row r="104">
      <c r="A104" s="5"/>
      <c r="B104" s="5"/>
      <c r="C104" s="5"/>
      <c r="D104" s="112"/>
      <c r="E104" s="112"/>
      <c r="F104" s="112"/>
      <c r="G104" s="112"/>
      <c r="H104" s="112"/>
      <c r="I104" s="112"/>
      <c r="J104" s="5"/>
      <c r="K104" s="112"/>
      <c r="L104" s="5"/>
      <c r="M104" s="5"/>
      <c r="N104" s="5"/>
      <c r="O104" s="5"/>
      <c r="P104" s="5"/>
      <c r="Q104" s="114"/>
      <c r="R104" s="114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6"/>
      <c r="AU104" s="6"/>
      <c r="AV104" s="6"/>
      <c r="AW104" s="6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</row>
    <row r="105">
      <c r="A105" s="5"/>
      <c r="B105" s="5"/>
      <c r="C105" s="5"/>
      <c r="D105" s="112"/>
      <c r="E105" s="112"/>
      <c r="F105" s="112"/>
      <c r="G105" s="112"/>
      <c r="H105" s="112"/>
      <c r="I105" s="112"/>
      <c r="J105" s="5"/>
      <c r="K105" s="112"/>
      <c r="L105" s="5"/>
      <c r="M105" s="5"/>
      <c r="N105" s="5"/>
      <c r="O105" s="5"/>
      <c r="P105" s="5"/>
      <c r="Q105" s="114"/>
      <c r="R105" s="114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6"/>
      <c r="AU105" s="6"/>
      <c r="AV105" s="6"/>
      <c r="AW105" s="6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</row>
    <row r="106">
      <c r="A106" s="5"/>
      <c r="B106" s="5"/>
      <c r="C106" s="5"/>
      <c r="D106" s="112"/>
      <c r="E106" s="112"/>
      <c r="F106" s="112"/>
      <c r="G106" s="112"/>
      <c r="H106" s="112"/>
      <c r="I106" s="112"/>
      <c r="J106" s="5"/>
      <c r="K106" s="112"/>
      <c r="L106" s="5"/>
      <c r="M106" s="5"/>
      <c r="N106" s="5"/>
      <c r="O106" s="5"/>
      <c r="P106" s="5"/>
      <c r="Q106" s="114"/>
      <c r="R106" s="114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6"/>
      <c r="AU106" s="6"/>
      <c r="AV106" s="6"/>
      <c r="AW106" s="6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</row>
    <row r="107">
      <c r="A107" s="5"/>
      <c r="B107" s="5"/>
      <c r="C107" s="5"/>
      <c r="D107" s="112"/>
      <c r="E107" s="112"/>
      <c r="F107" s="112"/>
      <c r="G107" s="112"/>
      <c r="H107" s="112"/>
      <c r="I107" s="112"/>
      <c r="J107" s="5"/>
      <c r="K107" s="112"/>
      <c r="L107" s="5"/>
      <c r="M107" s="5"/>
      <c r="N107" s="5"/>
      <c r="O107" s="5"/>
      <c r="P107" s="5"/>
      <c r="Q107" s="114"/>
      <c r="R107" s="114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6"/>
      <c r="AU107" s="6"/>
      <c r="AV107" s="6"/>
      <c r="AW107" s="6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</row>
    <row r="108">
      <c r="A108" s="5"/>
      <c r="B108" s="5"/>
      <c r="C108" s="5"/>
      <c r="D108" s="112"/>
      <c r="E108" s="112"/>
      <c r="F108" s="112"/>
      <c r="G108" s="112"/>
      <c r="H108" s="112"/>
      <c r="I108" s="112"/>
      <c r="J108" s="5"/>
      <c r="K108" s="112"/>
      <c r="L108" s="5"/>
      <c r="M108" s="5"/>
      <c r="N108" s="5"/>
      <c r="O108" s="5"/>
      <c r="P108" s="5"/>
      <c r="Q108" s="114"/>
      <c r="R108" s="114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6"/>
      <c r="AU108" s="6"/>
      <c r="AV108" s="6"/>
      <c r="AW108" s="6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</row>
    <row r="109">
      <c r="A109" s="5"/>
      <c r="B109" s="5"/>
      <c r="C109" s="5"/>
      <c r="D109" s="112"/>
      <c r="E109" s="112"/>
      <c r="F109" s="112"/>
      <c r="G109" s="112"/>
      <c r="H109" s="112"/>
      <c r="I109" s="112"/>
      <c r="J109" s="5"/>
      <c r="K109" s="112"/>
      <c r="L109" s="5"/>
      <c r="M109" s="5"/>
      <c r="N109" s="5"/>
      <c r="O109" s="5"/>
      <c r="P109" s="5"/>
      <c r="Q109" s="114"/>
      <c r="R109" s="114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6"/>
      <c r="AU109" s="6"/>
      <c r="AV109" s="6"/>
      <c r="AW109" s="6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</row>
    <row r="110">
      <c r="A110" s="5"/>
      <c r="B110" s="5"/>
      <c r="C110" s="5"/>
      <c r="D110" s="112"/>
      <c r="E110" s="112"/>
      <c r="F110" s="112"/>
      <c r="G110" s="112"/>
      <c r="H110" s="112"/>
      <c r="I110" s="112"/>
      <c r="J110" s="5"/>
      <c r="K110" s="112"/>
      <c r="L110" s="5"/>
      <c r="M110" s="5"/>
      <c r="N110" s="5"/>
      <c r="O110" s="5"/>
      <c r="P110" s="5"/>
      <c r="Q110" s="114"/>
      <c r="R110" s="114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6"/>
      <c r="AU110" s="6"/>
      <c r="AV110" s="6"/>
      <c r="AW110" s="6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</row>
    <row r="111">
      <c r="A111" s="5"/>
      <c r="B111" s="5"/>
      <c r="C111" s="5"/>
      <c r="D111" s="112"/>
      <c r="E111" s="112"/>
      <c r="F111" s="112"/>
      <c r="G111" s="112"/>
      <c r="H111" s="112"/>
      <c r="I111" s="112"/>
      <c r="J111" s="5"/>
      <c r="K111" s="112"/>
      <c r="L111" s="5"/>
      <c r="M111" s="5"/>
      <c r="N111" s="5"/>
      <c r="O111" s="5"/>
      <c r="P111" s="5"/>
      <c r="Q111" s="114"/>
      <c r="R111" s="114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6"/>
      <c r="AU111" s="6"/>
      <c r="AV111" s="6"/>
      <c r="AW111" s="6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</row>
    <row r="112">
      <c r="A112" s="5"/>
      <c r="B112" s="5"/>
      <c r="C112" s="5"/>
      <c r="D112" s="112"/>
      <c r="E112" s="112"/>
      <c r="F112" s="112"/>
      <c r="G112" s="112"/>
      <c r="H112" s="112"/>
      <c r="I112" s="112"/>
      <c r="J112" s="5"/>
      <c r="K112" s="112"/>
      <c r="L112" s="5"/>
      <c r="M112" s="5"/>
      <c r="N112" s="5"/>
      <c r="O112" s="5"/>
      <c r="P112" s="5"/>
      <c r="Q112" s="114"/>
      <c r="R112" s="114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6"/>
      <c r="AU112" s="6"/>
      <c r="AV112" s="6"/>
      <c r="AW112" s="6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</row>
    <row r="113">
      <c r="A113" s="5"/>
      <c r="B113" s="5"/>
      <c r="C113" s="5"/>
      <c r="D113" s="112"/>
      <c r="E113" s="112"/>
      <c r="F113" s="112"/>
      <c r="G113" s="112"/>
      <c r="H113" s="112"/>
      <c r="I113" s="112"/>
      <c r="J113" s="5"/>
      <c r="K113" s="112"/>
      <c r="L113" s="5"/>
      <c r="M113" s="5"/>
      <c r="N113" s="5"/>
      <c r="O113" s="5"/>
      <c r="P113" s="5"/>
      <c r="Q113" s="114"/>
      <c r="R113" s="114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6"/>
      <c r="AU113" s="6"/>
      <c r="AV113" s="6"/>
      <c r="AW113" s="6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</row>
    <row r="114">
      <c r="A114" s="5"/>
      <c r="B114" s="5"/>
      <c r="C114" s="5"/>
      <c r="D114" s="112"/>
      <c r="E114" s="112"/>
      <c r="F114" s="112"/>
      <c r="G114" s="112"/>
      <c r="H114" s="112"/>
      <c r="I114" s="112"/>
      <c r="J114" s="5"/>
      <c r="K114" s="112"/>
      <c r="L114" s="5"/>
      <c r="M114" s="5"/>
      <c r="N114" s="5"/>
      <c r="O114" s="5"/>
      <c r="P114" s="5"/>
      <c r="Q114" s="114"/>
      <c r="R114" s="114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6"/>
      <c r="AU114" s="6"/>
      <c r="AV114" s="6"/>
      <c r="AW114" s="6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</row>
    <row r="115">
      <c r="A115" s="5"/>
      <c r="B115" s="5"/>
      <c r="C115" s="5"/>
      <c r="D115" s="112"/>
      <c r="E115" s="112"/>
      <c r="F115" s="112"/>
      <c r="G115" s="112"/>
      <c r="H115" s="112"/>
      <c r="I115" s="112"/>
      <c r="J115" s="5"/>
      <c r="K115" s="112"/>
      <c r="L115" s="5"/>
      <c r="M115" s="5"/>
      <c r="N115" s="5"/>
      <c r="O115" s="5"/>
      <c r="P115" s="5"/>
      <c r="Q115" s="114"/>
      <c r="R115" s="114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6"/>
      <c r="AU115" s="6"/>
      <c r="AV115" s="6"/>
      <c r="AW115" s="6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</row>
    <row r="116">
      <c r="A116" s="5"/>
      <c r="B116" s="5"/>
      <c r="C116" s="5"/>
      <c r="D116" s="112"/>
      <c r="E116" s="112"/>
      <c r="F116" s="112"/>
      <c r="G116" s="112"/>
      <c r="H116" s="112"/>
      <c r="I116" s="112"/>
      <c r="J116" s="5"/>
      <c r="K116" s="112"/>
      <c r="L116" s="5"/>
      <c r="M116" s="5"/>
      <c r="N116" s="5"/>
      <c r="O116" s="5"/>
      <c r="P116" s="5"/>
      <c r="Q116" s="114"/>
      <c r="R116" s="114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6"/>
      <c r="AU116" s="6"/>
      <c r="AV116" s="6"/>
      <c r="AW116" s="6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</row>
    <row r="117">
      <c r="A117" s="5"/>
      <c r="B117" s="5"/>
      <c r="C117" s="5"/>
      <c r="D117" s="112"/>
      <c r="E117" s="112"/>
      <c r="F117" s="112"/>
      <c r="G117" s="112"/>
      <c r="H117" s="112"/>
      <c r="I117" s="112"/>
      <c r="J117" s="5"/>
      <c r="K117" s="112"/>
      <c r="L117" s="5"/>
      <c r="M117" s="5"/>
      <c r="N117" s="5"/>
      <c r="O117" s="5"/>
      <c r="P117" s="5"/>
      <c r="Q117" s="114"/>
      <c r="R117" s="114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6"/>
      <c r="AU117" s="6"/>
      <c r="AV117" s="6"/>
      <c r="AW117" s="6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</row>
    <row r="118">
      <c r="A118" s="5"/>
      <c r="B118" s="5"/>
      <c r="C118" s="5"/>
      <c r="D118" s="112"/>
      <c r="E118" s="112"/>
      <c r="F118" s="112"/>
      <c r="G118" s="112"/>
      <c r="H118" s="112"/>
      <c r="I118" s="112"/>
      <c r="J118" s="5"/>
      <c r="K118" s="112"/>
      <c r="L118" s="5"/>
      <c r="M118" s="5"/>
      <c r="N118" s="5"/>
      <c r="O118" s="5"/>
      <c r="P118" s="5"/>
      <c r="Q118" s="114"/>
      <c r="R118" s="114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6"/>
      <c r="AU118" s="6"/>
      <c r="AV118" s="6"/>
      <c r="AW118" s="6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</row>
    <row r="119">
      <c r="A119" s="5"/>
      <c r="B119" s="5"/>
      <c r="C119" s="5"/>
      <c r="D119" s="112"/>
      <c r="E119" s="112"/>
      <c r="F119" s="112"/>
      <c r="G119" s="112"/>
      <c r="H119" s="112"/>
      <c r="I119" s="112"/>
      <c r="J119" s="5"/>
      <c r="K119" s="112"/>
      <c r="L119" s="5"/>
      <c r="M119" s="5"/>
      <c r="N119" s="5"/>
      <c r="O119" s="5"/>
      <c r="P119" s="5"/>
      <c r="Q119" s="114"/>
      <c r="R119" s="114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6"/>
      <c r="AU119" s="6"/>
      <c r="AV119" s="6"/>
      <c r="AW119" s="6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</row>
    <row r="120">
      <c r="A120" s="5"/>
      <c r="B120" s="5"/>
      <c r="C120" s="5"/>
      <c r="D120" s="112"/>
      <c r="E120" s="112"/>
      <c r="F120" s="112"/>
      <c r="G120" s="112"/>
      <c r="H120" s="112"/>
      <c r="I120" s="112"/>
      <c r="J120" s="5"/>
      <c r="K120" s="112"/>
      <c r="L120" s="5"/>
      <c r="M120" s="5"/>
      <c r="N120" s="5"/>
      <c r="O120" s="5"/>
      <c r="P120" s="5"/>
      <c r="Q120" s="114"/>
      <c r="R120" s="114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6"/>
      <c r="AU120" s="6"/>
      <c r="AV120" s="6"/>
      <c r="AW120" s="6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</row>
    <row r="121">
      <c r="A121" s="5"/>
      <c r="B121" s="5"/>
      <c r="C121" s="5"/>
      <c r="D121" s="112"/>
      <c r="E121" s="112"/>
      <c r="F121" s="112"/>
      <c r="G121" s="112"/>
      <c r="H121" s="112"/>
      <c r="I121" s="112"/>
      <c r="J121" s="5"/>
      <c r="K121" s="112"/>
      <c r="L121" s="5"/>
      <c r="M121" s="5"/>
      <c r="N121" s="5"/>
      <c r="O121" s="5"/>
      <c r="P121" s="5"/>
      <c r="Q121" s="114"/>
      <c r="R121" s="114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6"/>
      <c r="AU121" s="6"/>
      <c r="AV121" s="6"/>
      <c r="AW121" s="6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</row>
    <row r="122">
      <c r="A122" s="5"/>
      <c r="B122" s="5"/>
      <c r="C122" s="5"/>
      <c r="D122" s="112"/>
      <c r="E122" s="112"/>
      <c r="F122" s="112"/>
      <c r="G122" s="112"/>
      <c r="H122" s="112"/>
      <c r="I122" s="112"/>
      <c r="J122" s="5"/>
      <c r="K122" s="112"/>
      <c r="L122" s="5"/>
      <c r="M122" s="5"/>
      <c r="N122" s="5"/>
      <c r="O122" s="5"/>
      <c r="P122" s="5"/>
      <c r="Q122" s="114"/>
      <c r="R122" s="114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6"/>
      <c r="AU122" s="6"/>
      <c r="AV122" s="6"/>
      <c r="AW122" s="6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</row>
    <row r="123">
      <c r="A123" s="5"/>
      <c r="B123" s="5"/>
      <c r="C123" s="5"/>
      <c r="D123" s="112"/>
      <c r="E123" s="112"/>
      <c r="F123" s="112"/>
      <c r="G123" s="112"/>
      <c r="H123" s="112"/>
      <c r="I123" s="112"/>
      <c r="J123" s="5"/>
      <c r="K123" s="112"/>
      <c r="L123" s="5"/>
      <c r="M123" s="5"/>
      <c r="N123" s="5"/>
      <c r="O123" s="5"/>
      <c r="P123" s="5"/>
      <c r="Q123" s="114"/>
      <c r="R123" s="114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6"/>
      <c r="AU123" s="6"/>
      <c r="AV123" s="6"/>
      <c r="AW123" s="6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</row>
    <row r="124">
      <c r="A124" s="5"/>
      <c r="B124" s="5"/>
      <c r="C124" s="5"/>
      <c r="D124" s="112"/>
      <c r="E124" s="112"/>
      <c r="F124" s="112"/>
      <c r="G124" s="112"/>
      <c r="H124" s="112"/>
      <c r="I124" s="112"/>
      <c r="J124" s="5"/>
      <c r="K124" s="112"/>
      <c r="L124" s="5"/>
      <c r="M124" s="5"/>
      <c r="N124" s="5"/>
      <c r="O124" s="5"/>
      <c r="P124" s="5"/>
      <c r="Q124" s="114"/>
      <c r="R124" s="114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6"/>
      <c r="AU124" s="6"/>
      <c r="AV124" s="6"/>
      <c r="AW124" s="6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</row>
    <row r="125">
      <c r="A125" s="5"/>
      <c r="B125" s="5"/>
      <c r="C125" s="5"/>
      <c r="D125" s="112"/>
      <c r="E125" s="112"/>
      <c r="F125" s="112"/>
      <c r="G125" s="112"/>
      <c r="H125" s="112"/>
      <c r="I125" s="112"/>
      <c r="J125" s="5"/>
      <c r="K125" s="112"/>
      <c r="L125" s="5"/>
      <c r="M125" s="5"/>
      <c r="N125" s="5"/>
      <c r="O125" s="5"/>
      <c r="P125" s="5"/>
      <c r="Q125" s="114"/>
      <c r="R125" s="114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6"/>
      <c r="AU125" s="6"/>
      <c r="AV125" s="6"/>
      <c r="AW125" s="6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</row>
    <row r="126">
      <c r="A126" s="5"/>
      <c r="B126" s="5"/>
      <c r="C126" s="5"/>
      <c r="D126" s="112"/>
      <c r="E126" s="112"/>
      <c r="F126" s="112"/>
      <c r="G126" s="112"/>
      <c r="H126" s="112"/>
      <c r="I126" s="112"/>
      <c r="J126" s="5"/>
      <c r="K126" s="112"/>
      <c r="L126" s="5"/>
      <c r="M126" s="5"/>
      <c r="N126" s="5"/>
      <c r="O126" s="5"/>
      <c r="P126" s="5"/>
      <c r="Q126" s="114"/>
      <c r="R126" s="114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6"/>
      <c r="AU126" s="6"/>
      <c r="AV126" s="6"/>
      <c r="AW126" s="6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</row>
    <row r="127">
      <c r="A127" s="5"/>
      <c r="B127" s="5"/>
      <c r="C127" s="5"/>
      <c r="D127" s="112"/>
      <c r="E127" s="112"/>
      <c r="F127" s="112"/>
      <c r="G127" s="112"/>
      <c r="H127" s="112"/>
      <c r="I127" s="112"/>
      <c r="J127" s="5"/>
      <c r="K127" s="112"/>
      <c r="L127" s="5"/>
      <c r="M127" s="5"/>
      <c r="N127" s="5"/>
      <c r="O127" s="5"/>
      <c r="P127" s="5"/>
      <c r="Q127" s="114"/>
      <c r="R127" s="114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6"/>
      <c r="AU127" s="6"/>
      <c r="AV127" s="6"/>
      <c r="AW127" s="6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</row>
    <row r="128">
      <c r="A128" s="5"/>
      <c r="B128" s="5"/>
      <c r="C128" s="5"/>
      <c r="D128" s="112"/>
      <c r="E128" s="112"/>
      <c r="F128" s="112"/>
      <c r="G128" s="112"/>
      <c r="H128" s="112"/>
      <c r="I128" s="112"/>
      <c r="J128" s="5"/>
      <c r="K128" s="112"/>
      <c r="L128" s="5"/>
      <c r="M128" s="5"/>
      <c r="N128" s="5"/>
      <c r="O128" s="5"/>
      <c r="P128" s="5"/>
      <c r="Q128" s="114"/>
      <c r="R128" s="114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6"/>
      <c r="AU128" s="6"/>
      <c r="AV128" s="6"/>
      <c r="AW128" s="6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</row>
    <row r="129">
      <c r="A129" s="5"/>
      <c r="B129" s="5"/>
      <c r="C129" s="5"/>
      <c r="D129" s="112"/>
      <c r="E129" s="112"/>
      <c r="F129" s="112"/>
      <c r="G129" s="112"/>
      <c r="H129" s="112"/>
      <c r="I129" s="112"/>
      <c r="J129" s="5"/>
      <c r="K129" s="112"/>
      <c r="L129" s="5"/>
      <c r="M129" s="5"/>
      <c r="N129" s="5"/>
      <c r="O129" s="5"/>
      <c r="P129" s="5"/>
      <c r="Q129" s="114"/>
      <c r="R129" s="114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6"/>
      <c r="AU129" s="6"/>
      <c r="AV129" s="6"/>
      <c r="AW129" s="6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</row>
    <row r="130">
      <c r="A130" s="5"/>
      <c r="B130" s="5"/>
      <c r="C130" s="5"/>
      <c r="D130" s="112"/>
      <c r="E130" s="112"/>
      <c r="F130" s="112"/>
      <c r="G130" s="112"/>
      <c r="H130" s="112"/>
      <c r="I130" s="112"/>
      <c r="J130" s="5"/>
      <c r="K130" s="112"/>
      <c r="L130" s="5"/>
      <c r="M130" s="5"/>
      <c r="N130" s="5"/>
      <c r="O130" s="5"/>
      <c r="P130" s="5"/>
      <c r="Q130" s="114"/>
      <c r="R130" s="114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6"/>
      <c r="AU130" s="6"/>
      <c r="AV130" s="6"/>
      <c r="AW130" s="6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</row>
    <row r="131">
      <c r="A131" s="5"/>
      <c r="B131" s="5"/>
      <c r="C131" s="5"/>
      <c r="D131" s="112"/>
      <c r="E131" s="112"/>
      <c r="F131" s="112"/>
      <c r="G131" s="112"/>
      <c r="H131" s="112"/>
      <c r="I131" s="112"/>
      <c r="J131" s="5"/>
      <c r="K131" s="112"/>
      <c r="L131" s="5"/>
      <c r="M131" s="5"/>
      <c r="N131" s="5"/>
      <c r="O131" s="5"/>
      <c r="P131" s="5"/>
      <c r="Q131" s="114"/>
      <c r="R131" s="114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6"/>
      <c r="AU131" s="6"/>
      <c r="AV131" s="6"/>
      <c r="AW131" s="6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</row>
    <row r="132">
      <c r="A132" s="5"/>
      <c r="B132" s="5"/>
      <c r="C132" s="5"/>
      <c r="D132" s="112"/>
      <c r="E132" s="112"/>
      <c r="F132" s="112"/>
      <c r="G132" s="112"/>
      <c r="H132" s="112"/>
      <c r="I132" s="112"/>
      <c r="J132" s="5"/>
      <c r="K132" s="112"/>
      <c r="L132" s="5"/>
      <c r="M132" s="5"/>
      <c r="N132" s="5"/>
      <c r="O132" s="5"/>
      <c r="P132" s="5"/>
      <c r="Q132" s="114"/>
      <c r="R132" s="114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6"/>
      <c r="AU132" s="6"/>
      <c r="AV132" s="6"/>
      <c r="AW132" s="6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</row>
    <row r="133">
      <c r="A133" s="5"/>
      <c r="B133" s="5"/>
      <c r="C133" s="5"/>
      <c r="D133" s="112"/>
      <c r="E133" s="112"/>
      <c r="F133" s="112"/>
      <c r="G133" s="112"/>
      <c r="H133" s="112"/>
      <c r="I133" s="112"/>
      <c r="J133" s="5"/>
      <c r="K133" s="112"/>
      <c r="L133" s="5"/>
      <c r="M133" s="5"/>
      <c r="N133" s="5"/>
      <c r="O133" s="5"/>
      <c r="P133" s="5"/>
      <c r="Q133" s="114"/>
      <c r="R133" s="114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6"/>
      <c r="AU133" s="6"/>
      <c r="AV133" s="6"/>
      <c r="AW133" s="6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</row>
    <row r="134">
      <c r="A134" s="5"/>
      <c r="B134" s="5"/>
      <c r="C134" s="5"/>
      <c r="D134" s="112"/>
      <c r="E134" s="112"/>
      <c r="F134" s="112"/>
      <c r="G134" s="112"/>
      <c r="H134" s="112"/>
      <c r="I134" s="112"/>
      <c r="J134" s="5"/>
      <c r="K134" s="112"/>
      <c r="L134" s="5"/>
      <c r="M134" s="5"/>
      <c r="N134" s="5"/>
      <c r="O134" s="5"/>
      <c r="P134" s="5"/>
      <c r="Q134" s="114"/>
      <c r="R134" s="114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6"/>
      <c r="AU134" s="6"/>
      <c r="AV134" s="6"/>
      <c r="AW134" s="6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</row>
    <row r="135">
      <c r="A135" s="5"/>
      <c r="B135" s="5"/>
      <c r="C135" s="5"/>
      <c r="D135" s="112"/>
      <c r="E135" s="112"/>
      <c r="F135" s="112"/>
      <c r="G135" s="112"/>
      <c r="H135" s="112"/>
      <c r="I135" s="112"/>
      <c r="J135" s="5"/>
      <c r="K135" s="112"/>
      <c r="L135" s="5"/>
      <c r="M135" s="5"/>
      <c r="N135" s="5"/>
      <c r="O135" s="5"/>
      <c r="P135" s="5"/>
      <c r="Q135" s="114"/>
      <c r="R135" s="114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6"/>
      <c r="AU135" s="6"/>
      <c r="AV135" s="6"/>
      <c r="AW135" s="6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</row>
    <row r="136">
      <c r="A136" s="5"/>
      <c r="B136" s="5"/>
      <c r="C136" s="5"/>
      <c r="D136" s="112"/>
      <c r="E136" s="112"/>
      <c r="F136" s="112"/>
      <c r="G136" s="112"/>
      <c r="H136" s="112"/>
      <c r="I136" s="112"/>
      <c r="J136" s="5"/>
      <c r="K136" s="112"/>
      <c r="L136" s="5"/>
      <c r="M136" s="5"/>
      <c r="N136" s="5"/>
      <c r="O136" s="5"/>
      <c r="P136" s="5"/>
      <c r="Q136" s="114"/>
      <c r="R136" s="114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6"/>
      <c r="AU136" s="6"/>
      <c r="AV136" s="6"/>
      <c r="AW136" s="6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</row>
    <row r="137">
      <c r="A137" s="5"/>
      <c r="B137" s="5"/>
      <c r="C137" s="5"/>
      <c r="D137" s="112"/>
      <c r="E137" s="112"/>
      <c r="F137" s="112"/>
      <c r="G137" s="112"/>
      <c r="H137" s="112"/>
      <c r="I137" s="112"/>
      <c r="J137" s="5"/>
      <c r="K137" s="112"/>
      <c r="L137" s="5"/>
      <c r="M137" s="5"/>
      <c r="N137" s="5"/>
      <c r="O137" s="5"/>
      <c r="P137" s="5"/>
      <c r="Q137" s="114"/>
      <c r="R137" s="114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6"/>
      <c r="AU137" s="6"/>
      <c r="AV137" s="6"/>
      <c r="AW137" s="6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</row>
    <row r="138">
      <c r="A138" s="5"/>
      <c r="B138" s="5"/>
      <c r="C138" s="5"/>
      <c r="D138" s="112"/>
      <c r="E138" s="112"/>
      <c r="F138" s="112"/>
      <c r="G138" s="112"/>
      <c r="H138" s="112"/>
      <c r="I138" s="112"/>
      <c r="J138" s="5"/>
      <c r="K138" s="112"/>
      <c r="L138" s="5"/>
      <c r="M138" s="5"/>
      <c r="N138" s="5"/>
      <c r="O138" s="5"/>
      <c r="P138" s="5"/>
      <c r="Q138" s="114"/>
      <c r="R138" s="114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6"/>
      <c r="AU138" s="6"/>
      <c r="AV138" s="6"/>
      <c r="AW138" s="6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</row>
    <row r="139">
      <c r="A139" s="5"/>
      <c r="B139" s="5"/>
      <c r="C139" s="5"/>
      <c r="D139" s="112"/>
      <c r="E139" s="112"/>
      <c r="F139" s="112"/>
      <c r="G139" s="112"/>
      <c r="H139" s="112"/>
      <c r="I139" s="112"/>
      <c r="J139" s="5"/>
      <c r="K139" s="112"/>
      <c r="L139" s="5"/>
      <c r="M139" s="5"/>
      <c r="N139" s="5"/>
      <c r="O139" s="5"/>
      <c r="P139" s="5"/>
      <c r="Q139" s="114"/>
      <c r="R139" s="114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6"/>
      <c r="AU139" s="6"/>
      <c r="AV139" s="6"/>
      <c r="AW139" s="6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</row>
    <row r="140">
      <c r="A140" s="5"/>
      <c r="B140" s="5"/>
      <c r="C140" s="5"/>
      <c r="D140" s="112"/>
      <c r="E140" s="112"/>
      <c r="F140" s="112"/>
      <c r="G140" s="112"/>
      <c r="H140" s="112"/>
      <c r="I140" s="112"/>
      <c r="J140" s="5"/>
      <c r="K140" s="112"/>
      <c r="L140" s="5"/>
      <c r="M140" s="5"/>
      <c r="N140" s="5"/>
      <c r="O140" s="5"/>
      <c r="P140" s="5"/>
      <c r="Q140" s="114"/>
      <c r="R140" s="114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6"/>
      <c r="AU140" s="6"/>
      <c r="AV140" s="6"/>
      <c r="AW140" s="6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</row>
    <row r="141">
      <c r="A141" s="5"/>
      <c r="B141" s="5"/>
      <c r="C141" s="5"/>
      <c r="D141" s="112"/>
      <c r="E141" s="112"/>
      <c r="F141" s="112"/>
      <c r="G141" s="112"/>
      <c r="H141" s="112"/>
      <c r="I141" s="112"/>
      <c r="J141" s="5"/>
      <c r="K141" s="112"/>
      <c r="L141" s="5"/>
      <c r="M141" s="5"/>
      <c r="N141" s="5"/>
      <c r="O141" s="5"/>
      <c r="P141" s="5"/>
      <c r="Q141" s="114"/>
      <c r="R141" s="114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6"/>
      <c r="AU141" s="6"/>
      <c r="AV141" s="6"/>
      <c r="AW141" s="6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</row>
    <row r="142">
      <c r="A142" s="5"/>
      <c r="B142" s="5"/>
      <c r="C142" s="5"/>
      <c r="D142" s="112"/>
      <c r="E142" s="112"/>
      <c r="F142" s="112"/>
      <c r="G142" s="112"/>
      <c r="H142" s="112"/>
      <c r="I142" s="112"/>
      <c r="J142" s="5"/>
      <c r="K142" s="112"/>
      <c r="L142" s="5"/>
      <c r="M142" s="5"/>
      <c r="N142" s="5"/>
      <c r="O142" s="5"/>
      <c r="P142" s="5"/>
      <c r="Q142" s="114"/>
      <c r="R142" s="114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6"/>
      <c r="AU142" s="6"/>
      <c r="AV142" s="6"/>
      <c r="AW142" s="6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</row>
    <row r="143">
      <c r="A143" s="5"/>
      <c r="B143" s="5"/>
      <c r="C143" s="5"/>
      <c r="D143" s="112"/>
      <c r="E143" s="112"/>
      <c r="F143" s="112"/>
      <c r="G143" s="112"/>
      <c r="H143" s="112"/>
      <c r="I143" s="112"/>
      <c r="J143" s="5"/>
      <c r="K143" s="112"/>
      <c r="L143" s="5"/>
      <c r="M143" s="5"/>
      <c r="N143" s="5"/>
      <c r="O143" s="5"/>
      <c r="P143" s="5"/>
      <c r="Q143" s="114"/>
      <c r="R143" s="114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6"/>
      <c r="AU143" s="6"/>
      <c r="AV143" s="6"/>
      <c r="AW143" s="6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</row>
    <row r="144">
      <c r="A144" s="5"/>
      <c r="B144" s="5"/>
      <c r="C144" s="5"/>
      <c r="D144" s="112"/>
      <c r="E144" s="112"/>
      <c r="F144" s="112"/>
      <c r="G144" s="112"/>
      <c r="H144" s="112"/>
      <c r="I144" s="112"/>
      <c r="J144" s="5"/>
      <c r="K144" s="112"/>
      <c r="L144" s="5"/>
      <c r="M144" s="5"/>
      <c r="N144" s="5"/>
      <c r="O144" s="5"/>
      <c r="P144" s="5"/>
      <c r="Q144" s="114"/>
      <c r="R144" s="114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6"/>
      <c r="AU144" s="6"/>
      <c r="AV144" s="6"/>
      <c r="AW144" s="6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</row>
    <row r="145">
      <c r="A145" s="5"/>
      <c r="B145" s="5"/>
      <c r="C145" s="5"/>
      <c r="D145" s="112"/>
      <c r="E145" s="112"/>
      <c r="F145" s="112"/>
      <c r="G145" s="112"/>
      <c r="H145" s="112"/>
      <c r="I145" s="112"/>
      <c r="J145" s="5"/>
      <c r="K145" s="112"/>
      <c r="L145" s="5"/>
      <c r="M145" s="5"/>
      <c r="N145" s="5"/>
      <c r="O145" s="5"/>
      <c r="P145" s="5"/>
      <c r="Q145" s="114"/>
      <c r="R145" s="114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6"/>
      <c r="AU145" s="6"/>
      <c r="AV145" s="6"/>
      <c r="AW145" s="6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</row>
    <row r="146">
      <c r="A146" s="5"/>
      <c r="B146" s="5"/>
      <c r="C146" s="5"/>
      <c r="D146" s="112"/>
      <c r="E146" s="112"/>
      <c r="F146" s="112"/>
      <c r="G146" s="112"/>
      <c r="H146" s="112"/>
      <c r="I146" s="112"/>
      <c r="J146" s="5"/>
      <c r="K146" s="112"/>
      <c r="L146" s="5"/>
      <c r="M146" s="5"/>
      <c r="N146" s="5"/>
      <c r="O146" s="5"/>
      <c r="P146" s="5"/>
      <c r="Q146" s="114"/>
      <c r="R146" s="114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6"/>
      <c r="AU146" s="6"/>
      <c r="AV146" s="6"/>
      <c r="AW146" s="6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</row>
    <row r="147">
      <c r="A147" s="5"/>
      <c r="B147" s="5"/>
      <c r="C147" s="5"/>
      <c r="D147" s="112"/>
      <c r="E147" s="112"/>
      <c r="F147" s="112"/>
      <c r="G147" s="112"/>
      <c r="H147" s="112"/>
      <c r="I147" s="112"/>
      <c r="J147" s="5"/>
      <c r="K147" s="112"/>
      <c r="L147" s="5"/>
      <c r="M147" s="5"/>
      <c r="N147" s="5"/>
      <c r="O147" s="5"/>
      <c r="P147" s="5"/>
      <c r="Q147" s="114"/>
      <c r="R147" s="114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6"/>
      <c r="AU147" s="6"/>
      <c r="AV147" s="6"/>
      <c r="AW147" s="6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</row>
    <row r="148">
      <c r="A148" s="5"/>
      <c r="B148" s="5"/>
      <c r="C148" s="5"/>
      <c r="D148" s="112"/>
      <c r="E148" s="112"/>
      <c r="F148" s="112"/>
      <c r="G148" s="112"/>
      <c r="H148" s="112"/>
      <c r="I148" s="112"/>
      <c r="J148" s="5"/>
      <c r="K148" s="112"/>
      <c r="L148" s="5"/>
      <c r="M148" s="5"/>
      <c r="N148" s="5"/>
      <c r="O148" s="5"/>
      <c r="P148" s="5"/>
      <c r="Q148" s="114"/>
      <c r="R148" s="114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6"/>
      <c r="AU148" s="6"/>
      <c r="AV148" s="6"/>
      <c r="AW148" s="6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</row>
    <row r="149">
      <c r="A149" s="5"/>
      <c r="B149" s="5"/>
      <c r="C149" s="5"/>
      <c r="D149" s="112"/>
      <c r="E149" s="112"/>
      <c r="F149" s="112"/>
      <c r="G149" s="112"/>
      <c r="H149" s="112"/>
      <c r="I149" s="112"/>
      <c r="J149" s="5"/>
      <c r="K149" s="112"/>
      <c r="L149" s="5"/>
      <c r="M149" s="5"/>
      <c r="N149" s="5"/>
      <c r="O149" s="5"/>
      <c r="P149" s="5"/>
      <c r="Q149" s="114"/>
      <c r="R149" s="114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6"/>
      <c r="AU149" s="6"/>
      <c r="AV149" s="6"/>
      <c r="AW149" s="6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</row>
    <row r="150">
      <c r="A150" s="5"/>
      <c r="B150" s="5"/>
      <c r="C150" s="5"/>
      <c r="D150" s="112"/>
      <c r="E150" s="112"/>
      <c r="F150" s="112"/>
      <c r="G150" s="112"/>
      <c r="H150" s="112"/>
      <c r="I150" s="112"/>
      <c r="J150" s="5"/>
      <c r="K150" s="112"/>
      <c r="L150" s="5"/>
      <c r="M150" s="5"/>
      <c r="N150" s="5"/>
      <c r="O150" s="5"/>
      <c r="P150" s="5"/>
      <c r="Q150" s="114"/>
      <c r="R150" s="114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6"/>
      <c r="AU150" s="6"/>
      <c r="AV150" s="6"/>
      <c r="AW150" s="6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</row>
    <row r="151">
      <c r="A151" s="5"/>
      <c r="B151" s="5"/>
      <c r="C151" s="5"/>
      <c r="D151" s="112"/>
      <c r="E151" s="112"/>
      <c r="F151" s="112"/>
      <c r="G151" s="112"/>
      <c r="H151" s="112"/>
      <c r="I151" s="112"/>
      <c r="J151" s="5"/>
      <c r="K151" s="112"/>
      <c r="L151" s="5"/>
      <c r="M151" s="5"/>
      <c r="N151" s="5"/>
      <c r="O151" s="5"/>
      <c r="P151" s="5"/>
      <c r="Q151" s="114"/>
      <c r="R151" s="114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6"/>
      <c r="AU151" s="6"/>
      <c r="AV151" s="6"/>
      <c r="AW151" s="6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</row>
    <row r="152">
      <c r="A152" s="5"/>
      <c r="B152" s="5"/>
      <c r="C152" s="5"/>
      <c r="D152" s="112"/>
      <c r="E152" s="112"/>
      <c r="F152" s="112"/>
      <c r="G152" s="112"/>
      <c r="H152" s="112"/>
      <c r="I152" s="112"/>
      <c r="J152" s="5"/>
      <c r="K152" s="112"/>
      <c r="L152" s="5"/>
      <c r="M152" s="5"/>
      <c r="N152" s="5"/>
      <c r="O152" s="5"/>
      <c r="P152" s="5"/>
      <c r="Q152" s="114"/>
      <c r="R152" s="114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6"/>
      <c r="AU152" s="6"/>
      <c r="AV152" s="6"/>
      <c r="AW152" s="6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</row>
    <row r="153">
      <c r="A153" s="5"/>
      <c r="B153" s="5"/>
      <c r="C153" s="5"/>
      <c r="D153" s="112"/>
      <c r="E153" s="112"/>
      <c r="F153" s="112"/>
      <c r="G153" s="112"/>
      <c r="H153" s="112"/>
      <c r="I153" s="112"/>
      <c r="J153" s="5"/>
      <c r="K153" s="112"/>
      <c r="L153" s="5"/>
      <c r="M153" s="5"/>
      <c r="N153" s="5"/>
      <c r="O153" s="5"/>
      <c r="P153" s="5"/>
      <c r="Q153" s="114"/>
      <c r="R153" s="114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6"/>
      <c r="AU153" s="6"/>
      <c r="AV153" s="6"/>
      <c r="AW153" s="6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</row>
    <row r="154">
      <c r="A154" s="5"/>
      <c r="B154" s="5"/>
      <c r="C154" s="5"/>
      <c r="D154" s="112"/>
      <c r="E154" s="112"/>
      <c r="F154" s="112"/>
      <c r="G154" s="112"/>
      <c r="H154" s="112"/>
      <c r="I154" s="112"/>
      <c r="J154" s="5"/>
      <c r="K154" s="112"/>
      <c r="L154" s="5"/>
      <c r="M154" s="5"/>
      <c r="N154" s="5"/>
      <c r="O154" s="5"/>
      <c r="P154" s="5"/>
      <c r="Q154" s="114"/>
      <c r="R154" s="114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6"/>
      <c r="AU154" s="6"/>
      <c r="AV154" s="6"/>
      <c r="AW154" s="6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</row>
    <row r="155">
      <c r="A155" s="5"/>
      <c r="B155" s="5"/>
      <c r="C155" s="5"/>
      <c r="D155" s="112"/>
      <c r="E155" s="112"/>
      <c r="F155" s="112"/>
      <c r="G155" s="112"/>
      <c r="H155" s="112"/>
      <c r="I155" s="112"/>
      <c r="J155" s="5"/>
      <c r="K155" s="112"/>
      <c r="L155" s="5"/>
      <c r="M155" s="5"/>
      <c r="N155" s="5"/>
      <c r="O155" s="5"/>
      <c r="P155" s="5"/>
      <c r="Q155" s="114"/>
      <c r="R155" s="114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6"/>
      <c r="AU155" s="6"/>
      <c r="AV155" s="6"/>
      <c r="AW155" s="6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</row>
    <row r="156">
      <c r="A156" s="5"/>
      <c r="B156" s="5"/>
      <c r="C156" s="5"/>
      <c r="D156" s="112"/>
      <c r="E156" s="112"/>
      <c r="F156" s="112"/>
      <c r="G156" s="112"/>
      <c r="H156" s="112"/>
      <c r="I156" s="112"/>
      <c r="J156" s="5"/>
      <c r="K156" s="112"/>
      <c r="L156" s="5"/>
      <c r="M156" s="5"/>
      <c r="N156" s="5"/>
      <c r="O156" s="5"/>
      <c r="P156" s="5"/>
      <c r="Q156" s="114"/>
      <c r="R156" s="114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6"/>
      <c r="AU156" s="6"/>
      <c r="AV156" s="6"/>
      <c r="AW156" s="6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</row>
    <row r="157">
      <c r="A157" s="5"/>
      <c r="B157" s="5"/>
      <c r="C157" s="5"/>
      <c r="D157" s="112"/>
      <c r="E157" s="112"/>
      <c r="F157" s="112"/>
      <c r="G157" s="112"/>
      <c r="H157" s="112"/>
      <c r="I157" s="112"/>
      <c r="J157" s="5"/>
      <c r="K157" s="112"/>
      <c r="L157" s="5"/>
      <c r="M157" s="5"/>
      <c r="N157" s="5"/>
      <c r="O157" s="5"/>
      <c r="P157" s="5"/>
      <c r="Q157" s="114"/>
      <c r="R157" s="114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6"/>
      <c r="AU157" s="6"/>
      <c r="AV157" s="6"/>
      <c r="AW157" s="6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</row>
    <row r="158">
      <c r="A158" s="5"/>
      <c r="B158" s="5"/>
      <c r="C158" s="5"/>
      <c r="D158" s="112"/>
      <c r="E158" s="112"/>
      <c r="F158" s="112"/>
      <c r="G158" s="112"/>
      <c r="H158" s="112"/>
      <c r="I158" s="112"/>
      <c r="J158" s="5"/>
      <c r="K158" s="112"/>
      <c r="L158" s="5"/>
      <c r="M158" s="5"/>
      <c r="N158" s="5"/>
      <c r="O158" s="5"/>
      <c r="P158" s="5"/>
      <c r="Q158" s="114"/>
      <c r="R158" s="114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6"/>
      <c r="AU158" s="6"/>
      <c r="AV158" s="6"/>
      <c r="AW158" s="6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</row>
    <row r="159">
      <c r="A159" s="5"/>
      <c r="B159" s="5"/>
      <c r="C159" s="5"/>
      <c r="D159" s="112"/>
      <c r="E159" s="112"/>
      <c r="F159" s="112"/>
      <c r="G159" s="112"/>
      <c r="H159" s="112"/>
      <c r="I159" s="112"/>
      <c r="J159" s="5"/>
      <c r="K159" s="112"/>
      <c r="L159" s="5"/>
      <c r="M159" s="5"/>
      <c r="N159" s="5"/>
      <c r="O159" s="5"/>
      <c r="P159" s="5"/>
      <c r="Q159" s="114"/>
      <c r="R159" s="114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6"/>
      <c r="AU159" s="6"/>
      <c r="AV159" s="6"/>
      <c r="AW159" s="6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</row>
    <row r="160">
      <c r="A160" s="5"/>
      <c r="B160" s="5"/>
      <c r="C160" s="5"/>
      <c r="D160" s="112"/>
      <c r="E160" s="112"/>
      <c r="F160" s="112"/>
      <c r="G160" s="112"/>
      <c r="H160" s="112"/>
      <c r="I160" s="112"/>
      <c r="J160" s="5"/>
      <c r="K160" s="112"/>
      <c r="L160" s="5"/>
      <c r="M160" s="5"/>
      <c r="N160" s="5"/>
      <c r="O160" s="5"/>
      <c r="P160" s="5"/>
      <c r="Q160" s="114"/>
      <c r="R160" s="114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6"/>
      <c r="AU160" s="6"/>
      <c r="AV160" s="6"/>
      <c r="AW160" s="6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</row>
    <row r="161">
      <c r="A161" s="5"/>
      <c r="B161" s="5"/>
      <c r="C161" s="5"/>
      <c r="D161" s="112"/>
      <c r="E161" s="112"/>
      <c r="F161" s="112"/>
      <c r="G161" s="112"/>
      <c r="H161" s="112"/>
      <c r="I161" s="112"/>
      <c r="J161" s="5"/>
      <c r="K161" s="112"/>
      <c r="L161" s="5"/>
      <c r="M161" s="5"/>
      <c r="N161" s="5"/>
      <c r="O161" s="5"/>
      <c r="P161" s="5"/>
      <c r="Q161" s="114"/>
      <c r="R161" s="114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6"/>
      <c r="AU161" s="6"/>
      <c r="AV161" s="6"/>
      <c r="AW161" s="6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</row>
    <row r="162">
      <c r="A162" s="5"/>
      <c r="B162" s="5"/>
      <c r="C162" s="5"/>
      <c r="D162" s="112"/>
      <c r="E162" s="112"/>
      <c r="F162" s="112"/>
      <c r="G162" s="112"/>
      <c r="H162" s="112"/>
      <c r="I162" s="112"/>
      <c r="J162" s="5"/>
      <c r="K162" s="112"/>
      <c r="L162" s="5"/>
      <c r="M162" s="5"/>
      <c r="N162" s="5"/>
      <c r="O162" s="5"/>
      <c r="P162" s="5"/>
      <c r="Q162" s="114"/>
      <c r="R162" s="114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6"/>
      <c r="AU162" s="6"/>
      <c r="AV162" s="6"/>
      <c r="AW162" s="6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</row>
    <row r="163">
      <c r="A163" s="5"/>
      <c r="B163" s="5"/>
      <c r="C163" s="5"/>
      <c r="D163" s="112"/>
      <c r="E163" s="112"/>
      <c r="F163" s="112"/>
      <c r="G163" s="112"/>
      <c r="H163" s="112"/>
      <c r="I163" s="112"/>
      <c r="J163" s="5"/>
      <c r="K163" s="112"/>
      <c r="L163" s="5"/>
      <c r="M163" s="5"/>
      <c r="N163" s="5"/>
      <c r="O163" s="5"/>
      <c r="P163" s="5"/>
      <c r="Q163" s="114"/>
      <c r="R163" s="114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6"/>
      <c r="AU163" s="6"/>
      <c r="AV163" s="6"/>
      <c r="AW163" s="6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</row>
    <row r="164">
      <c r="A164" s="5"/>
      <c r="B164" s="5"/>
      <c r="C164" s="5"/>
      <c r="D164" s="112"/>
      <c r="E164" s="112"/>
      <c r="F164" s="112"/>
      <c r="G164" s="112"/>
      <c r="H164" s="112"/>
      <c r="I164" s="112"/>
      <c r="J164" s="5"/>
      <c r="K164" s="112"/>
      <c r="L164" s="5"/>
      <c r="M164" s="5"/>
      <c r="N164" s="5"/>
      <c r="O164" s="5"/>
      <c r="P164" s="5"/>
      <c r="Q164" s="114"/>
      <c r="R164" s="114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6"/>
      <c r="AU164" s="6"/>
      <c r="AV164" s="6"/>
      <c r="AW164" s="6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</row>
    <row r="165">
      <c r="A165" s="5"/>
      <c r="B165" s="5"/>
      <c r="C165" s="5"/>
      <c r="D165" s="112"/>
      <c r="E165" s="112"/>
      <c r="F165" s="112"/>
      <c r="G165" s="112"/>
      <c r="H165" s="112"/>
      <c r="I165" s="112"/>
      <c r="J165" s="5"/>
      <c r="K165" s="112"/>
      <c r="L165" s="5"/>
      <c r="M165" s="5"/>
      <c r="N165" s="5"/>
      <c r="O165" s="5"/>
      <c r="P165" s="5"/>
      <c r="Q165" s="114"/>
      <c r="R165" s="114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6"/>
      <c r="AU165" s="6"/>
      <c r="AV165" s="6"/>
      <c r="AW165" s="6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</row>
    <row r="166">
      <c r="A166" s="5"/>
      <c r="B166" s="5"/>
      <c r="C166" s="5"/>
      <c r="D166" s="112"/>
      <c r="E166" s="112"/>
      <c r="F166" s="112"/>
      <c r="G166" s="112"/>
      <c r="H166" s="112"/>
      <c r="I166" s="112"/>
      <c r="J166" s="5"/>
      <c r="K166" s="112"/>
      <c r="L166" s="5"/>
      <c r="M166" s="5"/>
      <c r="N166" s="5"/>
      <c r="O166" s="5"/>
      <c r="P166" s="5"/>
      <c r="Q166" s="114"/>
      <c r="R166" s="114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6"/>
      <c r="AU166" s="6"/>
      <c r="AV166" s="6"/>
      <c r="AW166" s="6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</row>
    <row r="167">
      <c r="A167" s="5"/>
      <c r="B167" s="5"/>
      <c r="C167" s="5"/>
      <c r="D167" s="112"/>
      <c r="E167" s="112"/>
      <c r="F167" s="112"/>
      <c r="G167" s="112"/>
      <c r="H167" s="112"/>
      <c r="I167" s="112"/>
      <c r="J167" s="5"/>
      <c r="K167" s="112"/>
      <c r="L167" s="5"/>
      <c r="M167" s="5"/>
      <c r="N167" s="5"/>
      <c r="O167" s="5"/>
      <c r="P167" s="5"/>
      <c r="Q167" s="114"/>
      <c r="R167" s="114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6"/>
      <c r="AU167" s="6"/>
      <c r="AV167" s="6"/>
      <c r="AW167" s="6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</row>
    <row r="168">
      <c r="A168" s="5"/>
      <c r="B168" s="5"/>
      <c r="C168" s="5"/>
      <c r="D168" s="112"/>
      <c r="E168" s="112"/>
      <c r="F168" s="112"/>
      <c r="G168" s="112"/>
      <c r="H168" s="112"/>
      <c r="I168" s="112"/>
      <c r="J168" s="5"/>
      <c r="K168" s="112"/>
      <c r="L168" s="5"/>
      <c r="M168" s="5"/>
      <c r="N168" s="5"/>
      <c r="O168" s="5"/>
      <c r="P168" s="5"/>
      <c r="Q168" s="114"/>
      <c r="R168" s="114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6"/>
      <c r="AU168" s="6"/>
      <c r="AV168" s="6"/>
      <c r="AW168" s="6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</row>
    <row r="169">
      <c r="A169" s="5"/>
      <c r="B169" s="5"/>
      <c r="C169" s="5"/>
      <c r="D169" s="112"/>
      <c r="E169" s="112"/>
      <c r="F169" s="112"/>
      <c r="G169" s="112"/>
      <c r="H169" s="112"/>
      <c r="I169" s="112"/>
      <c r="J169" s="5"/>
      <c r="K169" s="112"/>
      <c r="L169" s="5"/>
      <c r="M169" s="5"/>
      <c r="N169" s="5"/>
      <c r="O169" s="5"/>
      <c r="P169" s="5"/>
      <c r="Q169" s="114"/>
      <c r="R169" s="114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6"/>
      <c r="AU169" s="6"/>
      <c r="AV169" s="6"/>
      <c r="AW169" s="6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</row>
    <row r="170">
      <c r="A170" s="5"/>
      <c r="B170" s="5"/>
      <c r="C170" s="5"/>
      <c r="D170" s="112"/>
      <c r="E170" s="112"/>
      <c r="F170" s="112"/>
      <c r="G170" s="112"/>
      <c r="H170" s="112"/>
      <c r="I170" s="112"/>
      <c r="J170" s="5"/>
      <c r="K170" s="112"/>
      <c r="L170" s="5"/>
      <c r="M170" s="5"/>
      <c r="N170" s="5"/>
      <c r="O170" s="5"/>
      <c r="P170" s="5"/>
      <c r="Q170" s="114"/>
      <c r="R170" s="114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6"/>
      <c r="AU170" s="6"/>
      <c r="AV170" s="6"/>
      <c r="AW170" s="6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</row>
    <row r="171">
      <c r="A171" s="5"/>
      <c r="B171" s="5"/>
      <c r="C171" s="5"/>
      <c r="D171" s="112"/>
      <c r="E171" s="112"/>
      <c r="F171" s="112"/>
      <c r="G171" s="112"/>
      <c r="H171" s="112"/>
      <c r="I171" s="112"/>
      <c r="J171" s="5"/>
      <c r="K171" s="112"/>
      <c r="L171" s="5"/>
      <c r="M171" s="5"/>
      <c r="N171" s="5"/>
      <c r="O171" s="5"/>
      <c r="P171" s="5"/>
      <c r="Q171" s="114"/>
      <c r="R171" s="114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6"/>
      <c r="AU171" s="6"/>
      <c r="AV171" s="6"/>
      <c r="AW171" s="6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</row>
    <row r="172">
      <c r="A172" s="5"/>
      <c r="B172" s="5"/>
      <c r="C172" s="5"/>
      <c r="D172" s="112"/>
      <c r="E172" s="112"/>
      <c r="F172" s="112"/>
      <c r="G172" s="112"/>
      <c r="H172" s="112"/>
      <c r="I172" s="112"/>
      <c r="J172" s="5"/>
      <c r="K172" s="112"/>
      <c r="L172" s="5"/>
      <c r="M172" s="5"/>
      <c r="N172" s="5"/>
      <c r="O172" s="5"/>
      <c r="P172" s="5"/>
      <c r="Q172" s="114"/>
      <c r="R172" s="114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6"/>
      <c r="AU172" s="6"/>
      <c r="AV172" s="6"/>
      <c r="AW172" s="6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</row>
    <row r="173">
      <c r="A173" s="5"/>
      <c r="B173" s="5"/>
      <c r="C173" s="5"/>
      <c r="D173" s="112"/>
      <c r="E173" s="112"/>
      <c r="F173" s="112"/>
      <c r="G173" s="112"/>
      <c r="H173" s="112"/>
      <c r="I173" s="112"/>
      <c r="J173" s="5"/>
      <c r="K173" s="112"/>
      <c r="L173" s="5"/>
      <c r="M173" s="5"/>
      <c r="N173" s="5"/>
      <c r="O173" s="5"/>
      <c r="P173" s="5"/>
      <c r="Q173" s="114"/>
      <c r="R173" s="114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6"/>
      <c r="AU173" s="6"/>
      <c r="AV173" s="6"/>
      <c r="AW173" s="6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</row>
    <row r="174">
      <c r="A174" s="5"/>
      <c r="B174" s="5"/>
      <c r="C174" s="5"/>
      <c r="D174" s="112"/>
      <c r="E174" s="112"/>
      <c r="F174" s="112"/>
      <c r="G174" s="112"/>
      <c r="H174" s="112"/>
      <c r="I174" s="112"/>
      <c r="J174" s="5"/>
      <c r="K174" s="112"/>
      <c r="L174" s="5"/>
      <c r="M174" s="5"/>
      <c r="N174" s="5"/>
      <c r="O174" s="5"/>
      <c r="P174" s="5"/>
      <c r="Q174" s="114"/>
      <c r="R174" s="114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6"/>
      <c r="AU174" s="6"/>
      <c r="AV174" s="6"/>
      <c r="AW174" s="6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</row>
    <row r="175">
      <c r="A175" s="5"/>
      <c r="B175" s="5"/>
      <c r="C175" s="5"/>
      <c r="D175" s="112"/>
      <c r="E175" s="112"/>
      <c r="F175" s="112"/>
      <c r="G175" s="112"/>
      <c r="H175" s="112"/>
      <c r="I175" s="112"/>
      <c r="J175" s="5"/>
      <c r="K175" s="112"/>
      <c r="L175" s="5"/>
      <c r="M175" s="5"/>
      <c r="N175" s="5"/>
      <c r="O175" s="5"/>
      <c r="P175" s="5"/>
      <c r="Q175" s="114"/>
      <c r="R175" s="114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6"/>
      <c r="AU175" s="6"/>
      <c r="AV175" s="6"/>
      <c r="AW175" s="6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</row>
    <row r="176">
      <c r="A176" s="5"/>
      <c r="B176" s="5"/>
      <c r="C176" s="5"/>
      <c r="D176" s="112"/>
      <c r="E176" s="112"/>
      <c r="F176" s="112"/>
      <c r="G176" s="112"/>
      <c r="H176" s="112"/>
      <c r="I176" s="112"/>
      <c r="J176" s="5"/>
      <c r="K176" s="112"/>
      <c r="L176" s="5"/>
      <c r="M176" s="5"/>
      <c r="N176" s="5"/>
      <c r="O176" s="5"/>
      <c r="P176" s="5"/>
      <c r="Q176" s="114"/>
      <c r="R176" s="114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6"/>
      <c r="AU176" s="6"/>
      <c r="AV176" s="6"/>
      <c r="AW176" s="6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</row>
    <row r="177">
      <c r="A177" s="5"/>
      <c r="B177" s="5"/>
      <c r="C177" s="5"/>
      <c r="D177" s="112"/>
      <c r="E177" s="112"/>
      <c r="F177" s="112"/>
      <c r="G177" s="112"/>
      <c r="H177" s="112"/>
      <c r="I177" s="112"/>
      <c r="J177" s="5"/>
      <c r="K177" s="112"/>
      <c r="L177" s="5"/>
      <c r="M177" s="5"/>
      <c r="N177" s="5"/>
      <c r="O177" s="5"/>
      <c r="P177" s="5"/>
      <c r="Q177" s="114"/>
      <c r="R177" s="114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6"/>
      <c r="AU177" s="6"/>
      <c r="AV177" s="6"/>
      <c r="AW177" s="6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</row>
    <row r="178">
      <c r="A178" s="5"/>
      <c r="B178" s="5"/>
      <c r="C178" s="5"/>
      <c r="D178" s="112"/>
      <c r="E178" s="112"/>
      <c r="F178" s="112"/>
      <c r="G178" s="112"/>
      <c r="H178" s="112"/>
      <c r="I178" s="112"/>
      <c r="J178" s="5"/>
      <c r="K178" s="112"/>
      <c r="L178" s="5"/>
      <c r="M178" s="5"/>
      <c r="N178" s="5"/>
      <c r="O178" s="5"/>
      <c r="P178" s="5"/>
      <c r="Q178" s="114"/>
      <c r="R178" s="114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6"/>
      <c r="AU178" s="6"/>
      <c r="AV178" s="6"/>
      <c r="AW178" s="6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</row>
    <row r="179">
      <c r="A179" s="5"/>
      <c r="B179" s="5"/>
      <c r="C179" s="5"/>
      <c r="D179" s="112"/>
      <c r="E179" s="112"/>
      <c r="F179" s="112"/>
      <c r="G179" s="112"/>
      <c r="H179" s="112"/>
      <c r="I179" s="112"/>
      <c r="J179" s="5"/>
      <c r="K179" s="112"/>
      <c r="L179" s="5"/>
      <c r="M179" s="5"/>
      <c r="N179" s="5"/>
      <c r="O179" s="5"/>
      <c r="P179" s="5"/>
      <c r="Q179" s="114"/>
      <c r="R179" s="114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6"/>
      <c r="AU179" s="6"/>
      <c r="AV179" s="6"/>
      <c r="AW179" s="6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</row>
    <row r="180">
      <c r="A180" s="5"/>
      <c r="B180" s="5"/>
      <c r="C180" s="5"/>
      <c r="D180" s="112"/>
      <c r="E180" s="112"/>
      <c r="F180" s="112"/>
      <c r="G180" s="112"/>
      <c r="H180" s="112"/>
      <c r="I180" s="112"/>
      <c r="J180" s="5"/>
      <c r="K180" s="112"/>
      <c r="L180" s="5"/>
      <c r="M180" s="5"/>
      <c r="N180" s="5"/>
      <c r="O180" s="5"/>
      <c r="P180" s="5"/>
      <c r="Q180" s="114"/>
      <c r="R180" s="114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6"/>
      <c r="AU180" s="6"/>
      <c r="AV180" s="6"/>
      <c r="AW180" s="6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</row>
    <row r="181">
      <c r="A181" s="5"/>
      <c r="B181" s="5"/>
      <c r="C181" s="5"/>
      <c r="D181" s="112"/>
      <c r="E181" s="112"/>
      <c r="F181" s="112"/>
      <c r="G181" s="112"/>
      <c r="H181" s="112"/>
      <c r="I181" s="112"/>
      <c r="J181" s="5"/>
      <c r="K181" s="112"/>
      <c r="L181" s="5"/>
      <c r="M181" s="5"/>
      <c r="N181" s="5"/>
      <c r="O181" s="5"/>
      <c r="P181" s="5"/>
      <c r="Q181" s="114"/>
      <c r="R181" s="114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6"/>
      <c r="AU181" s="6"/>
      <c r="AV181" s="6"/>
      <c r="AW181" s="6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</row>
    <row r="182">
      <c r="A182" s="5"/>
      <c r="B182" s="5"/>
      <c r="C182" s="5"/>
      <c r="D182" s="112"/>
      <c r="E182" s="112"/>
      <c r="F182" s="112"/>
      <c r="G182" s="112"/>
      <c r="H182" s="112"/>
      <c r="I182" s="112"/>
      <c r="J182" s="5"/>
      <c r="K182" s="112"/>
      <c r="L182" s="5"/>
      <c r="M182" s="5"/>
      <c r="N182" s="5"/>
      <c r="O182" s="5"/>
      <c r="P182" s="5"/>
      <c r="Q182" s="114"/>
      <c r="R182" s="114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6"/>
      <c r="AU182" s="6"/>
      <c r="AV182" s="6"/>
      <c r="AW182" s="6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</row>
    <row r="183">
      <c r="A183" s="5"/>
      <c r="B183" s="5"/>
      <c r="C183" s="5"/>
      <c r="D183" s="112"/>
      <c r="E183" s="112"/>
      <c r="F183" s="112"/>
      <c r="G183" s="112"/>
      <c r="H183" s="112"/>
      <c r="I183" s="112"/>
      <c r="J183" s="5"/>
      <c r="K183" s="112"/>
      <c r="L183" s="5"/>
      <c r="M183" s="5"/>
      <c r="N183" s="5"/>
      <c r="O183" s="5"/>
      <c r="P183" s="5"/>
      <c r="Q183" s="114"/>
      <c r="R183" s="114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6"/>
      <c r="AU183" s="6"/>
      <c r="AV183" s="6"/>
      <c r="AW183" s="6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</row>
    <row r="184">
      <c r="A184" s="5"/>
      <c r="B184" s="5"/>
      <c r="C184" s="5"/>
      <c r="D184" s="112"/>
      <c r="E184" s="112"/>
      <c r="F184" s="112"/>
      <c r="G184" s="112"/>
      <c r="H184" s="112"/>
      <c r="I184" s="112"/>
      <c r="J184" s="5"/>
      <c r="K184" s="112"/>
      <c r="L184" s="5"/>
      <c r="M184" s="5"/>
      <c r="N184" s="5"/>
      <c r="O184" s="5"/>
      <c r="P184" s="5"/>
      <c r="Q184" s="114"/>
      <c r="R184" s="114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6"/>
      <c r="AU184" s="6"/>
      <c r="AV184" s="6"/>
      <c r="AW184" s="6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</row>
    <row r="185">
      <c r="A185" s="5"/>
      <c r="B185" s="5"/>
      <c r="C185" s="5"/>
      <c r="D185" s="112"/>
      <c r="E185" s="112"/>
      <c r="F185" s="112"/>
      <c r="G185" s="112"/>
      <c r="H185" s="112"/>
      <c r="I185" s="112"/>
      <c r="J185" s="5"/>
      <c r="K185" s="112"/>
      <c r="L185" s="5"/>
      <c r="M185" s="5"/>
      <c r="N185" s="5"/>
      <c r="O185" s="5"/>
      <c r="P185" s="5"/>
      <c r="Q185" s="114"/>
      <c r="R185" s="114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6"/>
      <c r="AU185" s="6"/>
      <c r="AV185" s="6"/>
      <c r="AW185" s="6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</row>
    <row r="186">
      <c r="A186" s="5"/>
      <c r="B186" s="5"/>
      <c r="C186" s="5"/>
      <c r="D186" s="112"/>
      <c r="E186" s="112"/>
      <c r="F186" s="112"/>
      <c r="G186" s="112"/>
      <c r="H186" s="112"/>
      <c r="I186" s="112"/>
      <c r="J186" s="5"/>
      <c r="K186" s="112"/>
      <c r="L186" s="5"/>
      <c r="M186" s="5"/>
      <c r="N186" s="5"/>
      <c r="O186" s="5"/>
      <c r="P186" s="5"/>
      <c r="Q186" s="114"/>
      <c r="R186" s="114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6"/>
      <c r="AU186" s="6"/>
      <c r="AV186" s="6"/>
      <c r="AW186" s="6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</row>
    <row r="187">
      <c r="A187" s="5"/>
      <c r="B187" s="5"/>
      <c r="C187" s="5"/>
      <c r="D187" s="112"/>
      <c r="E187" s="112"/>
      <c r="F187" s="112"/>
      <c r="G187" s="112"/>
      <c r="H187" s="112"/>
      <c r="I187" s="112"/>
      <c r="J187" s="5"/>
      <c r="K187" s="112"/>
      <c r="L187" s="5"/>
      <c r="M187" s="5"/>
      <c r="N187" s="5"/>
      <c r="O187" s="5"/>
      <c r="P187" s="5"/>
      <c r="Q187" s="114"/>
      <c r="R187" s="114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6"/>
      <c r="AU187" s="6"/>
      <c r="AV187" s="6"/>
      <c r="AW187" s="6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</row>
    <row r="188">
      <c r="A188" s="5"/>
      <c r="B188" s="5"/>
      <c r="C188" s="5"/>
      <c r="D188" s="112"/>
      <c r="E188" s="112"/>
      <c r="F188" s="112"/>
      <c r="G188" s="112"/>
      <c r="H188" s="112"/>
      <c r="I188" s="112"/>
      <c r="J188" s="5"/>
      <c r="K188" s="112"/>
      <c r="L188" s="5"/>
      <c r="M188" s="5"/>
      <c r="N188" s="5"/>
      <c r="O188" s="5"/>
      <c r="P188" s="5"/>
      <c r="Q188" s="114"/>
      <c r="R188" s="114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6"/>
      <c r="AU188" s="6"/>
      <c r="AV188" s="6"/>
      <c r="AW188" s="6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</row>
    <row r="189">
      <c r="A189" s="5"/>
      <c r="B189" s="5"/>
      <c r="C189" s="5"/>
      <c r="D189" s="112"/>
      <c r="E189" s="112"/>
      <c r="F189" s="112"/>
      <c r="G189" s="112"/>
      <c r="H189" s="112"/>
      <c r="I189" s="112"/>
      <c r="J189" s="5"/>
      <c r="K189" s="112"/>
      <c r="L189" s="5"/>
      <c r="M189" s="5"/>
      <c r="N189" s="5"/>
      <c r="O189" s="5"/>
      <c r="P189" s="5"/>
      <c r="Q189" s="114"/>
      <c r="R189" s="114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6"/>
      <c r="AU189" s="6"/>
      <c r="AV189" s="6"/>
      <c r="AW189" s="6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</row>
    <row r="190">
      <c r="A190" s="5"/>
      <c r="B190" s="5"/>
      <c r="C190" s="5"/>
      <c r="D190" s="112"/>
      <c r="E190" s="112"/>
      <c r="F190" s="112"/>
      <c r="G190" s="112"/>
      <c r="H190" s="112"/>
      <c r="I190" s="112"/>
      <c r="J190" s="5"/>
      <c r="K190" s="112"/>
      <c r="L190" s="5"/>
      <c r="M190" s="5"/>
      <c r="N190" s="5"/>
      <c r="O190" s="5"/>
      <c r="P190" s="5"/>
      <c r="Q190" s="114"/>
      <c r="R190" s="114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6"/>
      <c r="AU190" s="6"/>
      <c r="AV190" s="6"/>
      <c r="AW190" s="6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</row>
    <row r="191">
      <c r="A191" s="5"/>
      <c r="B191" s="5"/>
      <c r="C191" s="5"/>
      <c r="D191" s="112"/>
      <c r="E191" s="112"/>
      <c r="F191" s="112"/>
      <c r="G191" s="112"/>
      <c r="H191" s="112"/>
      <c r="I191" s="112"/>
      <c r="J191" s="5"/>
      <c r="K191" s="112"/>
      <c r="L191" s="5"/>
      <c r="M191" s="5"/>
      <c r="N191" s="5"/>
      <c r="O191" s="5"/>
      <c r="P191" s="5"/>
      <c r="Q191" s="114"/>
      <c r="R191" s="114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6"/>
      <c r="AU191" s="6"/>
      <c r="AV191" s="6"/>
      <c r="AW191" s="6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</row>
    <row r="192">
      <c r="A192" s="5"/>
      <c r="B192" s="5"/>
      <c r="C192" s="5"/>
      <c r="D192" s="112"/>
      <c r="E192" s="112"/>
      <c r="F192" s="112"/>
      <c r="G192" s="112"/>
      <c r="H192" s="112"/>
      <c r="I192" s="112"/>
      <c r="J192" s="5"/>
      <c r="K192" s="112"/>
      <c r="L192" s="5"/>
      <c r="M192" s="5"/>
      <c r="N192" s="5"/>
      <c r="O192" s="5"/>
      <c r="P192" s="5"/>
      <c r="Q192" s="114"/>
      <c r="R192" s="114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6"/>
      <c r="AU192" s="6"/>
      <c r="AV192" s="6"/>
      <c r="AW192" s="6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</row>
    <row r="193">
      <c r="A193" s="5"/>
      <c r="B193" s="5"/>
      <c r="C193" s="5"/>
      <c r="D193" s="112"/>
      <c r="E193" s="112"/>
      <c r="F193" s="112"/>
      <c r="G193" s="112"/>
      <c r="H193" s="112"/>
      <c r="I193" s="112"/>
      <c r="J193" s="5"/>
      <c r="K193" s="112"/>
      <c r="L193" s="5"/>
      <c r="M193" s="5"/>
      <c r="N193" s="5"/>
      <c r="O193" s="5"/>
      <c r="P193" s="5"/>
      <c r="Q193" s="114"/>
      <c r="R193" s="114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6"/>
      <c r="AU193" s="6"/>
      <c r="AV193" s="6"/>
      <c r="AW193" s="6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</row>
    <row r="194">
      <c r="A194" s="5"/>
      <c r="B194" s="5"/>
      <c r="C194" s="5"/>
      <c r="D194" s="112"/>
      <c r="E194" s="112"/>
      <c r="F194" s="112"/>
      <c r="G194" s="112"/>
      <c r="H194" s="112"/>
      <c r="I194" s="112"/>
      <c r="J194" s="5"/>
      <c r="K194" s="112"/>
      <c r="L194" s="5"/>
      <c r="M194" s="5"/>
      <c r="N194" s="5"/>
      <c r="O194" s="5"/>
      <c r="P194" s="5"/>
      <c r="Q194" s="114"/>
      <c r="R194" s="114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6"/>
      <c r="AU194" s="6"/>
      <c r="AV194" s="6"/>
      <c r="AW194" s="6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</row>
    <row r="195">
      <c r="A195" s="5"/>
      <c r="B195" s="5"/>
      <c r="C195" s="5"/>
      <c r="D195" s="112"/>
      <c r="E195" s="112"/>
      <c r="F195" s="112"/>
      <c r="G195" s="112"/>
      <c r="H195" s="112"/>
      <c r="I195" s="112"/>
      <c r="J195" s="5"/>
      <c r="K195" s="112"/>
      <c r="L195" s="5"/>
      <c r="M195" s="5"/>
      <c r="N195" s="5"/>
      <c r="O195" s="5"/>
      <c r="P195" s="5"/>
      <c r="Q195" s="114"/>
      <c r="R195" s="114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6"/>
      <c r="AU195" s="6"/>
      <c r="AV195" s="6"/>
      <c r="AW195" s="6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</row>
    <row r="196">
      <c r="A196" s="5"/>
      <c r="B196" s="5"/>
      <c r="C196" s="5"/>
      <c r="D196" s="112"/>
      <c r="E196" s="112"/>
      <c r="F196" s="112"/>
      <c r="G196" s="112"/>
      <c r="H196" s="112"/>
      <c r="I196" s="112"/>
      <c r="J196" s="5"/>
      <c r="K196" s="112"/>
      <c r="L196" s="5"/>
      <c r="M196" s="5"/>
      <c r="N196" s="5"/>
      <c r="O196" s="5"/>
      <c r="P196" s="5"/>
      <c r="Q196" s="114"/>
      <c r="R196" s="114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6"/>
      <c r="AU196" s="6"/>
      <c r="AV196" s="6"/>
      <c r="AW196" s="6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</row>
    <row r="197">
      <c r="A197" s="5"/>
      <c r="B197" s="5"/>
      <c r="C197" s="5"/>
      <c r="D197" s="112"/>
      <c r="E197" s="112"/>
      <c r="F197" s="112"/>
      <c r="G197" s="112"/>
      <c r="H197" s="112"/>
      <c r="I197" s="112"/>
      <c r="J197" s="5"/>
      <c r="K197" s="112"/>
      <c r="L197" s="5"/>
      <c r="M197" s="5"/>
      <c r="N197" s="5"/>
      <c r="O197" s="5"/>
      <c r="P197" s="5"/>
      <c r="Q197" s="114"/>
      <c r="R197" s="114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6"/>
      <c r="AU197" s="6"/>
      <c r="AV197" s="6"/>
      <c r="AW197" s="6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</row>
    <row r="198">
      <c r="A198" s="5"/>
      <c r="B198" s="5"/>
      <c r="C198" s="5"/>
      <c r="D198" s="112"/>
      <c r="E198" s="112"/>
      <c r="F198" s="112"/>
      <c r="G198" s="112"/>
      <c r="H198" s="112"/>
      <c r="I198" s="112"/>
      <c r="J198" s="5"/>
      <c r="K198" s="112"/>
      <c r="L198" s="5"/>
      <c r="M198" s="5"/>
      <c r="N198" s="5"/>
      <c r="O198" s="5"/>
      <c r="P198" s="5"/>
      <c r="Q198" s="114"/>
      <c r="R198" s="114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6"/>
      <c r="AU198" s="6"/>
      <c r="AV198" s="6"/>
      <c r="AW198" s="6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</row>
    <row r="199">
      <c r="A199" s="5"/>
      <c r="B199" s="5"/>
      <c r="C199" s="5"/>
      <c r="D199" s="112"/>
      <c r="E199" s="112"/>
      <c r="F199" s="112"/>
      <c r="G199" s="112"/>
      <c r="H199" s="112"/>
      <c r="I199" s="112"/>
      <c r="J199" s="5"/>
      <c r="K199" s="112"/>
      <c r="L199" s="5"/>
      <c r="M199" s="5"/>
      <c r="N199" s="5"/>
      <c r="O199" s="5"/>
      <c r="P199" s="5"/>
      <c r="Q199" s="114"/>
      <c r="R199" s="114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6"/>
      <c r="AU199" s="6"/>
      <c r="AV199" s="6"/>
      <c r="AW199" s="6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</row>
    <row r="200">
      <c r="A200" s="5"/>
      <c r="B200" s="5"/>
      <c r="C200" s="5"/>
      <c r="D200" s="112"/>
      <c r="E200" s="112"/>
      <c r="F200" s="112"/>
      <c r="G200" s="112"/>
      <c r="H200" s="112"/>
      <c r="I200" s="112"/>
      <c r="J200" s="5"/>
      <c r="K200" s="112"/>
      <c r="L200" s="5"/>
      <c r="M200" s="5"/>
      <c r="N200" s="5"/>
      <c r="O200" s="5"/>
      <c r="P200" s="5"/>
      <c r="Q200" s="114"/>
      <c r="R200" s="114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6"/>
      <c r="AU200" s="6"/>
      <c r="AV200" s="6"/>
      <c r="AW200" s="6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</row>
  </sheetData>
  <mergeCells>
    <mergeCell ref="B1:C1"/>
    <mergeCell ref="E1:F1"/>
    <mergeCell ref="H1:I1"/>
    <mergeCell ref="K1:N1"/>
    <mergeCell ref="P1:R1"/>
    <mergeCell ref="B6:C6"/>
    <mergeCell ref="B50:H50"/>
    <mergeCell ref="J50:P50"/>
  </mergeCells>
  <pageMargins bottom="1" footer="0.5" header="0.5" left="0.75" right="0.75" top="1"/>
  <legacy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1F4E79"/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8" defaultRowHeight="16"/>
  <cols>
    <col collapsed="false" customWidth="true" hidden="false" max="4" min="4" style="0" width="22"/>
    <col collapsed="false" customWidth="true" hidden="false" max="5" min="5" style="0" width="12"/>
    <col collapsed="false" customWidth="true" hidden="false" max="6" min="6" style="0" width="22"/>
    <col collapsed="false" customWidth="true" hidden="false" max="1" min="1" style="0" width="8"/>
    <col collapsed="false" customWidth="true" hidden="false" max="2" min="2" style="0" width="15"/>
    <col collapsed="false" customWidth="true" hidden="false" max="3" min="3" style="0" width="22"/>
  </cols>
  <sheetData>
    <row customHeight="true" ht="26" r="1">
      <c r="A1" s="115" t="s">
        <v>143</v>
      </c>
      <c r="B1" s="115" t="s">
        <v>144</v>
      </c>
      <c r="C1" s="115" t="s">
        <v>145</v>
      </c>
      <c r="D1" s="115" t="s">
        <v>146</v>
      </c>
      <c r="E1" s="115" t="s">
        <v>147</v>
      </c>
      <c r="F1" s="115" t="s">
        <v>148</v>
      </c>
    </row>
    <row customHeight="true" ht="13" r="2">
      <c r="A2" s="116" t="s">
        <v>149</v>
      </c>
      <c r="B2" s="116" t="s">
        <v>150</v>
      </c>
      <c r="C2" s="116" t="s">
        <v>151</v>
      </c>
      <c r="D2" s="117"/>
      <c r="E2" s="116" t="s">
        <v>152</v>
      </c>
      <c r="F2" s="118"/>
    </row>
    <row customHeight="true" ht="13" r="3">
      <c r="A3" s="116" t="s">
        <v>149</v>
      </c>
      <c r="B3" s="116" t="s">
        <v>153</v>
      </c>
      <c r="C3" s="116" t="s">
        <v>154</v>
      </c>
      <c r="D3" s="117"/>
      <c r="E3" s="116" t="s">
        <v>155</v>
      </c>
      <c r="F3" s="118"/>
    </row>
    <row customHeight="true" ht="13" r="4">
      <c r="A4" s="116" t="s">
        <v>149</v>
      </c>
      <c r="B4" s="116" t="s">
        <v>156</v>
      </c>
      <c r="C4" s="116" t="s">
        <v>157</v>
      </c>
      <c r="D4" s="117"/>
      <c r="E4" s="116" t="s">
        <v>158</v>
      </c>
      <c r="F4" s="118"/>
    </row>
    <row customHeight="true" ht="13" r="5">
      <c r="A5" s="116" t="s">
        <v>149</v>
      </c>
      <c r="B5" s="116" t="s">
        <v>159</v>
      </c>
      <c r="C5" s="116" t="s">
        <v>160</v>
      </c>
      <c r="D5" s="117"/>
      <c r="E5" s="116" t="s">
        <v>161</v>
      </c>
      <c r="F5" s="118"/>
    </row>
    <row customHeight="true" ht="13" r="6">
      <c r="A6" s="116" t="s">
        <v>149</v>
      </c>
      <c r="B6" s="116" t="s">
        <v>162</v>
      </c>
      <c r="C6" s="116" t="s">
        <v>163</v>
      </c>
      <c r="D6" s="117" t="s">
        <v>164</v>
      </c>
      <c r="E6" s="116" t="s">
        <v>165</v>
      </c>
      <c r="F6" s="118"/>
    </row>
    <row customHeight="true" ht="13" r="7">
      <c r="A7" s="116" t="s">
        <v>149</v>
      </c>
      <c r="B7" s="116" t="s">
        <v>166</v>
      </c>
      <c r="C7" s="116" t="s">
        <v>167</v>
      </c>
      <c r="D7" s="117"/>
      <c r="E7" s="116" t="s">
        <v>165</v>
      </c>
      <c r="F7" s="118"/>
    </row>
    <row customHeight="true" ht="13" r="8">
      <c r="A8" s="116" t="s">
        <v>149</v>
      </c>
      <c r="B8" s="116" t="s">
        <v>168</v>
      </c>
      <c r="C8" s="116" t="s">
        <v>169</v>
      </c>
      <c r="D8" s="117" t="s">
        <v>170</v>
      </c>
      <c r="E8" s="116" t="s">
        <v>165</v>
      </c>
      <c r="F8" s="118"/>
    </row>
    <row customHeight="true" ht="13" r="9">
      <c r="A9" s="116" t="s">
        <v>149</v>
      </c>
      <c r="B9" s="116" t="s">
        <v>171</v>
      </c>
      <c r="C9" s="116" t="s">
        <v>172</v>
      </c>
      <c r="D9" s="117"/>
      <c r="E9" s="116" t="s">
        <v>173</v>
      </c>
      <c r="F9" s="118"/>
    </row>
    <row customHeight="true" ht="13" r="10">
      <c r="A10" s="116" t="s">
        <v>149</v>
      </c>
      <c r="B10" s="116" t="s">
        <v>174</v>
      </c>
      <c r="C10" s="116" t="s">
        <v>175</v>
      </c>
      <c r="D10" s="117"/>
      <c r="E10" s="116" t="s">
        <v>176</v>
      </c>
      <c r="F10" s="118"/>
    </row>
    <row customHeight="true" ht="13" r="11">
      <c r="A11" s="116" t="s">
        <v>177</v>
      </c>
      <c r="B11" s="116" t="s">
        <v>178</v>
      </c>
      <c r="C11" s="116" t="s">
        <v>179</v>
      </c>
      <c r="D11" s="117"/>
      <c r="E11" s="116" t="s">
        <v>180</v>
      </c>
      <c r="F11" s="118"/>
    </row>
    <row customHeight="true" ht="13" r="12">
      <c r="A12" s="116" t="s">
        <v>177</v>
      </c>
      <c r="B12" s="116" t="s">
        <v>181</v>
      </c>
      <c r="C12" s="116" t="s">
        <v>182</v>
      </c>
      <c r="D12" s="117"/>
      <c r="E12" s="116" t="s">
        <v>183</v>
      </c>
      <c r="F12" s="119"/>
    </row>
    <row customHeight="true" ht="13" r="13">
      <c r="A13" s="116" t="s">
        <v>177</v>
      </c>
      <c r="B13" s="116" t="s">
        <v>184</v>
      </c>
      <c r="C13" s="116" t="s">
        <v>185</v>
      </c>
      <c r="D13" s="117"/>
      <c r="E13" s="116" t="s">
        <v>186</v>
      </c>
      <c r="F13" s="119"/>
    </row>
    <row customHeight="true" ht="13" r="14">
      <c r="A14" s="116" t="s">
        <v>177</v>
      </c>
      <c r="B14" s="116" t="s">
        <v>187</v>
      </c>
      <c r="C14" s="116" t="s">
        <v>188</v>
      </c>
      <c r="D14" s="117"/>
      <c r="E14" s="116" t="s">
        <v>189</v>
      </c>
      <c r="F14" s="119"/>
    </row>
    <row customHeight="true" ht="13" r="15">
      <c r="A15" s="120"/>
      <c r="B15" s="120"/>
      <c r="C15" s="120"/>
      <c r="E15" s="120"/>
    </row>
    <row customHeight="true" ht="13" r="16">
      <c r="A16" s="120"/>
      <c r="B16" s="120"/>
      <c r="C16" s="120"/>
      <c r="E16" s="120"/>
    </row>
    <row customHeight="true" ht="13" r="17">
      <c r="A17" s="120"/>
      <c r="B17" s="120"/>
      <c r="C17" s="120"/>
      <c r="E17" s="120"/>
    </row>
    <row customHeight="true" ht="13" r="18">
      <c r="A18" s="120"/>
      <c r="B18" s="120"/>
      <c r="C18" s="120"/>
      <c r="E18" s="120"/>
    </row>
    <row customHeight="true" ht="13" r="19">
      <c r="A19" s="120"/>
      <c r="B19" s="120"/>
      <c r="C19" s="120"/>
      <c r="E19" s="120"/>
    </row>
    <row customHeight="true" ht="13" r="20">
      <c r="A20" s="120"/>
      <c r="B20" s="120"/>
      <c r="C20" s="120"/>
      <c r="E20" s="120"/>
    </row>
    <row customHeight="true" ht="13" r="21">
      <c r="A21" s="120"/>
      <c r="B21" s="120"/>
      <c r="C21" s="120"/>
      <c r="E21" s="120"/>
    </row>
    <row customHeight="true" ht="13" r="22">
      <c r="A22" s="120"/>
      <c r="B22" s="120"/>
      <c r="C22" s="120"/>
      <c r="E22" s="120"/>
    </row>
    <row customHeight="true" ht="13" r="23">
      <c r="A23" s="120"/>
      <c r="B23" s="120"/>
      <c r="C23" s="120"/>
      <c r="E23" s="120"/>
    </row>
    <row customHeight="true" ht="13" r="24">
      <c r="A24" s="120"/>
      <c r="B24" s="120"/>
      <c r="C24" s="120"/>
      <c r="E24" s="120"/>
    </row>
    <row customHeight="true" ht="13" r="25">
      <c r="A25" s="120"/>
      <c r="B25" s="120"/>
      <c r="C25" s="120"/>
      <c r="E25" s="120"/>
    </row>
    <row customHeight="true" ht="13" r="26">
      <c r="A26" s="120"/>
      <c r="B26" s="120"/>
      <c r="C26" s="120"/>
      <c r="E26" s="120"/>
    </row>
    <row r="27">
      <c r="A27" s="120"/>
      <c r="B27" s="120"/>
      <c r="C27" s="120"/>
      <c r="E27" s="120"/>
    </row>
    <row r="28">
      <c r="A28" s="120"/>
      <c r="B28" s="120"/>
      <c r="C28" s="120"/>
      <c r="E28" s="120"/>
    </row>
    <row r="29">
      <c r="A29" s="120"/>
      <c r="B29" s="120"/>
      <c r="C29" s="120"/>
      <c r="E29" s="120"/>
    </row>
    <row r="30">
      <c r="A30" s="120"/>
      <c r="B30" s="120"/>
      <c r="C30" s="120"/>
      <c r="E30" s="120"/>
    </row>
    <row r="31">
      <c r="A31" s="120"/>
      <c r="B31" s="120"/>
      <c r="C31" s="120"/>
      <c r="E31" s="120"/>
    </row>
    <row r="32">
      <c r="A32" s="120"/>
      <c r="B32" s="120"/>
      <c r="C32" s="120"/>
      <c r="E32" s="120"/>
    </row>
    <row r="33">
      <c r="A33" s="120"/>
      <c r="B33" s="120"/>
      <c r="C33" s="120"/>
      <c r="E33" s="120"/>
    </row>
    <row r="34">
      <c r="A34" s="120"/>
      <c r="B34" s="120"/>
      <c r="C34" s="120"/>
      <c r="E34" s="120"/>
    </row>
    <row r="35">
      <c r="A35" s="120"/>
      <c r="B35" s="120"/>
      <c r="C35" s="120"/>
      <c r="E35" s="120"/>
    </row>
    <row r="36">
      <c r="A36" s="120"/>
      <c r="B36" s="120"/>
      <c r="C36" s="120"/>
      <c r="E36" s="120"/>
    </row>
    <row r="37">
      <c r="A37" s="120"/>
      <c r="B37" s="120"/>
      <c r="C37" s="120"/>
      <c r="E37" s="120"/>
    </row>
    <row r="38">
      <c r="A38" s="120"/>
      <c r="B38" s="120"/>
      <c r="C38" s="120"/>
      <c r="E38" s="120"/>
    </row>
    <row r="39">
      <c r="A39" s="120"/>
      <c r="B39" s="120"/>
      <c r="C39" s="120"/>
      <c r="E39" s="120"/>
    </row>
    <row r="40">
      <c r="A40" s="120"/>
      <c r="B40" s="120"/>
      <c r="C40" s="120"/>
      <c r="E40" s="120"/>
    </row>
    <row r="41">
      <c r="A41" s="120"/>
      <c r="B41" s="120"/>
      <c r="C41" s="120"/>
      <c r="E41" s="120"/>
    </row>
    <row r="42">
      <c r="A42" s="120"/>
      <c r="B42" s="120"/>
      <c r="C42" s="120"/>
      <c r="E42" s="120"/>
    </row>
    <row r="43">
      <c r="A43" s="120"/>
      <c r="B43" s="120"/>
      <c r="C43" s="120"/>
      <c r="E43" s="120"/>
    </row>
    <row r="44">
      <c r="A44" s="120"/>
      <c r="B44" s="120"/>
      <c r="C44" s="120"/>
      <c r="E44" s="120"/>
    </row>
    <row r="45">
      <c r="A45" s="120"/>
      <c r="B45" s="120"/>
      <c r="C45" s="120"/>
      <c r="E45" s="120"/>
    </row>
    <row r="46">
      <c r="A46" s="120"/>
      <c r="B46" s="120"/>
      <c r="C46" s="120"/>
      <c r="E46" s="120"/>
    </row>
    <row r="47">
      <c r="A47" s="120"/>
      <c r="B47" s="120"/>
      <c r="C47" s="120"/>
      <c r="E47" s="120"/>
    </row>
    <row r="48">
      <c r="A48" s="120"/>
      <c r="B48" s="120"/>
      <c r="C48" s="120"/>
      <c r="E48" s="120"/>
    </row>
    <row r="49">
      <c r="A49" s="120"/>
      <c r="B49" s="120"/>
      <c r="C49" s="120"/>
      <c r="E49" s="120"/>
    </row>
    <row r="50">
      <c r="A50" s="120"/>
      <c r="B50" s="120"/>
      <c r="C50" s="120"/>
      <c r="E50" s="120"/>
    </row>
    <row r="51">
      <c r="A51" s="120"/>
      <c r="B51" s="120"/>
      <c r="C51" s="120"/>
      <c r="E51" s="120"/>
    </row>
    <row r="52">
      <c r="A52" s="120"/>
      <c r="B52" s="120"/>
      <c r="C52" s="120"/>
      <c r="E52" s="120"/>
    </row>
    <row r="53">
      <c r="A53" s="120"/>
      <c r="B53" s="120"/>
      <c r="C53" s="120"/>
      <c r="E53" s="120"/>
    </row>
    <row r="54">
      <c r="A54" s="120"/>
      <c r="B54" s="120"/>
      <c r="C54" s="120"/>
      <c r="E54" s="120"/>
    </row>
    <row r="55">
      <c r="A55" s="120"/>
      <c r="B55" s="120"/>
      <c r="C55" s="120"/>
      <c r="E55" s="120"/>
    </row>
    <row r="56">
      <c r="A56" s="120"/>
      <c r="B56" s="120"/>
      <c r="C56" s="120"/>
      <c r="E56" s="120"/>
    </row>
    <row r="57">
      <c r="A57" s="120"/>
      <c r="B57" s="120"/>
      <c r="C57" s="120"/>
      <c r="E57" s="120"/>
    </row>
    <row r="58">
      <c r="A58" s="120"/>
      <c r="B58" s="120"/>
      <c r="C58" s="120"/>
      <c r="E58" s="120"/>
    </row>
    <row r="59">
      <c r="A59" s="120"/>
      <c r="B59" s="120"/>
      <c r="C59" s="120"/>
      <c r="E59" s="120"/>
    </row>
    <row r="60">
      <c r="A60" s="120"/>
      <c r="B60" s="120"/>
      <c r="C60" s="120"/>
      <c r="E60" s="120"/>
    </row>
    <row r="61">
      <c r="A61" s="120"/>
      <c r="B61" s="120"/>
      <c r="C61" s="120"/>
      <c r="E61" s="120"/>
    </row>
    <row r="62">
      <c r="A62" s="120"/>
      <c r="B62" s="120"/>
      <c r="C62" s="120"/>
      <c r="E62" s="120"/>
    </row>
    <row r="63">
      <c r="A63" s="120"/>
      <c r="B63" s="120"/>
      <c r="C63" s="120"/>
      <c r="E63" s="120"/>
    </row>
    <row r="64">
      <c r="A64" s="120"/>
      <c r="B64" s="120"/>
      <c r="C64" s="120"/>
      <c r="E64" s="120"/>
    </row>
    <row r="65">
      <c r="A65" s="120"/>
      <c r="B65" s="120"/>
      <c r="C65" s="120"/>
      <c r="E65" s="120"/>
    </row>
    <row r="66">
      <c r="A66" s="120"/>
      <c r="B66" s="120"/>
      <c r="C66" s="120"/>
      <c r="E66" s="120"/>
    </row>
    <row r="67">
      <c r="A67" s="120"/>
      <c r="B67" s="120"/>
      <c r="C67" s="120"/>
      <c r="E67" s="120"/>
    </row>
    <row r="68">
      <c r="A68" s="120"/>
      <c r="B68" s="120"/>
      <c r="C68" s="120"/>
      <c r="E68" s="120"/>
    </row>
    <row r="69">
      <c r="A69" s="120"/>
      <c r="B69" s="120"/>
      <c r="C69" s="120"/>
      <c r="E69" s="120"/>
    </row>
    <row r="70">
      <c r="A70" s="120"/>
      <c r="B70" s="120"/>
      <c r="C70" s="120"/>
      <c r="E70" s="120"/>
    </row>
    <row r="71">
      <c r="A71" s="120"/>
      <c r="B71" s="120"/>
      <c r="C71" s="120"/>
      <c r="E71" s="120"/>
    </row>
    <row r="72">
      <c r="A72" s="120"/>
      <c r="B72" s="120"/>
      <c r="C72" s="120"/>
      <c r="E72" s="120"/>
    </row>
    <row r="73">
      <c r="A73" s="120"/>
      <c r="B73" s="120"/>
      <c r="C73" s="120"/>
      <c r="E73" s="120"/>
    </row>
    <row r="74">
      <c r="A74" s="120"/>
      <c r="B74" s="120"/>
      <c r="C74" s="120"/>
      <c r="E74" s="120"/>
    </row>
    <row r="75">
      <c r="A75" s="120"/>
      <c r="B75" s="120"/>
      <c r="C75" s="120"/>
      <c r="E75" s="120"/>
    </row>
    <row r="76">
      <c r="A76" s="120"/>
      <c r="B76" s="120"/>
      <c r="C76" s="120"/>
      <c r="E76" s="120"/>
    </row>
    <row r="77">
      <c r="A77" s="120"/>
      <c r="B77" s="120"/>
      <c r="C77" s="120"/>
      <c r="E77" s="120"/>
    </row>
    <row r="78">
      <c r="A78" s="120"/>
      <c r="B78" s="120"/>
      <c r="C78" s="120"/>
      <c r="E78" s="120"/>
    </row>
    <row r="79">
      <c r="A79" s="120"/>
      <c r="B79" s="120"/>
      <c r="C79" s="120"/>
      <c r="E79" s="120"/>
    </row>
    <row r="80">
      <c r="A80" s="120"/>
      <c r="B80" s="120"/>
      <c r="C80" s="120"/>
      <c r="E80" s="120"/>
    </row>
    <row r="81">
      <c r="A81" s="120"/>
      <c r="B81" s="120"/>
      <c r="C81" s="120"/>
      <c r="E81" s="120"/>
    </row>
    <row r="82">
      <c r="A82" s="120"/>
      <c r="B82" s="120"/>
      <c r="C82" s="120"/>
      <c r="E82" s="120"/>
    </row>
    <row r="83">
      <c r="A83" s="120"/>
      <c r="B83" s="120"/>
      <c r="C83" s="120"/>
      <c r="E83" s="120"/>
    </row>
    <row r="84">
      <c r="A84" s="120"/>
      <c r="B84" s="120"/>
      <c r="C84" s="120"/>
      <c r="E84" s="120"/>
    </row>
    <row r="85">
      <c r="A85" s="120"/>
      <c r="B85" s="120"/>
      <c r="C85" s="120"/>
      <c r="E85" s="120"/>
    </row>
    <row r="86">
      <c r="A86" s="120"/>
      <c r="B86" s="120"/>
      <c r="C86" s="120"/>
      <c r="E86" s="120"/>
    </row>
    <row r="87">
      <c r="A87" s="120"/>
      <c r="B87" s="120"/>
      <c r="C87" s="120"/>
      <c r="E87" s="120"/>
    </row>
    <row r="88">
      <c r="A88" s="120"/>
      <c r="B88" s="120"/>
      <c r="C88" s="120"/>
      <c r="E88" s="120"/>
    </row>
    <row r="89">
      <c r="A89" s="120"/>
      <c r="B89" s="120"/>
      <c r="C89" s="120"/>
      <c r="E89" s="120"/>
    </row>
    <row r="90">
      <c r="A90" s="120"/>
      <c r="B90" s="120"/>
      <c r="C90" s="120"/>
      <c r="E90" s="120"/>
    </row>
    <row r="91">
      <c r="A91" s="120"/>
      <c r="B91" s="120"/>
      <c r="C91" s="120"/>
      <c r="E91" s="120"/>
    </row>
    <row r="92">
      <c r="A92" s="120"/>
      <c r="B92" s="120"/>
      <c r="C92" s="120"/>
      <c r="E92" s="120"/>
    </row>
    <row r="93">
      <c r="A93" s="120"/>
      <c r="B93" s="120"/>
      <c r="C93" s="120"/>
      <c r="E93" s="120"/>
    </row>
    <row r="94">
      <c r="A94" s="120"/>
      <c r="B94" s="120"/>
      <c r="C94" s="120"/>
      <c r="E94" s="120"/>
    </row>
    <row r="95">
      <c r="A95" s="120"/>
      <c r="B95" s="120"/>
      <c r="C95" s="120"/>
      <c r="E95" s="120"/>
    </row>
    <row r="96">
      <c r="A96" s="120"/>
      <c r="B96" s="120"/>
      <c r="C96" s="120"/>
      <c r="E96" s="120"/>
    </row>
    <row r="97">
      <c r="A97" s="120"/>
      <c r="B97" s="120"/>
      <c r="C97" s="120"/>
      <c r="E97" s="120"/>
    </row>
    <row r="98">
      <c r="A98" s="120"/>
      <c r="B98" s="120"/>
      <c r="C98" s="120"/>
      <c r="E98" s="120"/>
    </row>
    <row r="99">
      <c r="A99" s="120"/>
      <c r="B99" s="120"/>
      <c r="C99" s="120"/>
      <c r="E99" s="120"/>
    </row>
    <row r="100">
      <c r="A100" s="120"/>
      <c r="B100" s="120"/>
      <c r="C100" s="120"/>
      <c r="E100" s="120"/>
    </row>
    <row r="101">
      <c r="A101" s="120"/>
      <c r="B101" s="120"/>
      <c r="C101" s="120"/>
      <c r="E101" s="120"/>
    </row>
    <row r="102">
      <c r="A102" s="120"/>
      <c r="B102" s="120"/>
      <c r="C102" s="120"/>
      <c r="E102" s="120"/>
    </row>
    <row r="103">
      <c r="A103" s="120"/>
      <c r="B103" s="120"/>
      <c r="C103" s="120"/>
      <c r="E103" s="120"/>
    </row>
    <row r="104">
      <c r="A104" s="120"/>
      <c r="B104" s="120"/>
      <c r="C104" s="120"/>
      <c r="E104" s="120"/>
    </row>
    <row r="105">
      <c r="A105" s="120"/>
      <c r="B105" s="120"/>
      <c r="C105" s="120"/>
      <c r="E105" s="120"/>
    </row>
    <row r="106">
      <c r="A106" s="120"/>
      <c r="B106" s="120"/>
      <c r="C106" s="120"/>
      <c r="E106" s="120"/>
    </row>
    <row r="107">
      <c r="A107" s="120"/>
      <c r="B107" s="120"/>
      <c r="C107" s="120"/>
      <c r="E107" s="120"/>
    </row>
    <row r="108">
      <c r="A108" s="120"/>
      <c r="B108" s="120"/>
      <c r="C108" s="120"/>
      <c r="E108" s="120"/>
    </row>
    <row r="109">
      <c r="A109" s="120"/>
      <c r="B109" s="120"/>
      <c r="C109" s="120"/>
      <c r="E109" s="120"/>
    </row>
    <row r="110">
      <c r="A110" s="120"/>
      <c r="B110" s="120"/>
      <c r="C110" s="120"/>
      <c r="E110" s="120"/>
    </row>
    <row r="111">
      <c r="A111" s="120"/>
      <c r="B111" s="120"/>
      <c r="C111" s="120"/>
      <c r="E111" s="120"/>
    </row>
    <row r="112">
      <c r="A112" s="120"/>
      <c r="B112" s="120"/>
      <c r="C112" s="120"/>
      <c r="E112" s="120"/>
    </row>
    <row r="113">
      <c r="A113" s="120"/>
      <c r="B113" s="120"/>
      <c r="C113" s="120"/>
      <c r="E113" s="120"/>
    </row>
    <row r="114">
      <c r="A114" s="120"/>
      <c r="B114" s="120"/>
      <c r="C114" s="120"/>
      <c r="E114" s="120"/>
    </row>
    <row r="115">
      <c r="A115" s="120"/>
      <c r="B115" s="120"/>
      <c r="C115" s="120"/>
      <c r="E115" s="120"/>
    </row>
    <row r="116">
      <c r="A116" s="120"/>
      <c r="B116" s="120"/>
      <c r="C116" s="120"/>
      <c r="E116" s="120"/>
    </row>
    <row r="117">
      <c r="A117" s="120"/>
      <c r="B117" s="120"/>
      <c r="C117" s="120"/>
      <c r="E117" s="120"/>
    </row>
    <row r="118">
      <c r="A118" s="120"/>
      <c r="B118" s="120"/>
      <c r="C118" s="120"/>
      <c r="E118" s="120"/>
    </row>
    <row r="119">
      <c r="A119" s="120"/>
      <c r="B119" s="120"/>
      <c r="C119" s="120"/>
      <c r="E119" s="120"/>
    </row>
    <row r="120">
      <c r="A120" s="120"/>
      <c r="B120" s="120"/>
      <c r="C120" s="120"/>
      <c r="E120" s="120"/>
    </row>
    <row r="121">
      <c r="A121" s="120"/>
      <c r="B121" s="120"/>
      <c r="C121" s="120"/>
      <c r="E121" s="120"/>
    </row>
    <row r="122">
      <c r="A122" s="120"/>
      <c r="B122" s="120"/>
      <c r="C122" s="120"/>
      <c r="E122" s="120"/>
    </row>
    <row r="123">
      <c r="A123" s="120"/>
      <c r="B123" s="120"/>
      <c r="C123" s="120"/>
      <c r="E123" s="120"/>
    </row>
    <row r="124">
      <c r="A124" s="120"/>
      <c r="B124" s="120"/>
      <c r="C124" s="120"/>
      <c r="E124" s="120"/>
    </row>
    <row r="125">
      <c r="A125" s="120"/>
      <c r="B125" s="120"/>
      <c r="C125" s="120"/>
      <c r="E125" s="120"/>
    </row>
    <row r="126">
      <c r="A126" s="120"/>
      <c r="B126" s="120"/>
      <c r="C126" s="120"/>
      <c r="E126" s="120"/>
    </row>
    <row r="127">
      <c r="A127" s="120"/>
      <c r="B127" s="120"/>
      <c r="C127" s="120"/>
      <c r="E127" s="120"/>
    </row>
    <row r="128">
      <c r="A128" s="120"/>
      <c r="B128" s="120"/>
      <c r="C128" s="120"/>
      <c r="E128" s="120"/>
    </row>
    <row r="129">
      <c r="A129" s="120"/>
      <c r="B129" s="120"/>
      <c r="C129" s="120"/>
      <c r="E129" s="120"/>
    </row>
    <row r="130">
      <c r="A130" s="120"/>
      <c r="B130" s="120"/>
      <c r="C130" s="120"/>
      <c r="E130" s="120"/>
    </row>
    <row r="131">
      <c r="A131" s="120"/>
      <c r="B131" s="120"/>
      <c r="C131" s="120"/>
      <c r="E131" s="120"/>
    </row>
    <row r="132">
      <c r="A132" s="120"/>
      <c r="B132" s="120"/>
      <c r="C132" s="120"/>
      <c r="E132" s="120"/>
    </row>
    <row r="133">
      <c r="A133" s="120"/>
      <c r="B133" s="120"/>
      <c r="C133" s="120"/>
      <c r="E133" s="120"/>
    </row>
    <row r="134">
      <c r="A134" s="120"/>
      <c r="B134" s="120"/>
      <c r="C134" s="120"/>
      <c r="E134" s="120"/>
    </row>
    <row r="135">
      <c r="A135" s="120"/>
      <c r="B135" s="120"/>
      <c r="C135" s="120"/>
      <c r="E135" s="120"/>
    </row>
    <row r="136">
      <c r="A136" s="120"/>
      <c r="B136" s="120"/>
      <c r="C136" s="120"/>
      <c r="E136" s="120"/>
    </row>
    <row r="137">
      <c r="A137" s="120"/>
      <c r="B137" s="120"/>
      <c r="C137" s="120"/>
      <c r="E137" s="120"/>
    </row>
    <row r="138">
      <c r="A138" s="120"/>
      <c r="B138" s="120"/>
      <c r="C138" s="120"/>
      <c r="E138" s="120"/>
    </row>
    <row r="139">
      <c r="A139" s="120"/>
      <c r="B139" s="120"/>
      <c r="C139" s="120"/>
      <c r="E139" s="120"/>
    </row>
    <row r="140">
      <c r="A140" s="120"/>
      <c r="B140" s="120"/>
      <c r="C140" s="120"/>
      <c r="E140" s="120"/>
    </row>
    <row r="141">
      <c r="A141" s="120"/>
      <c r="B141" s="120"/>
      <c r="C141" s="120"/>
      <c r="E141" s="120"/>
    </row>
    <row r="142">
      <c r="A142" s="120"/>
      <c r="B142" s="120"/>
      <c r="C142" s="120"/>
      <c r="E142" s="120"/>
    </row>
    <row r="143">
      <c r="A143" s="120"/>
      <c r="B143" s="120"/>
      <c r="C143" s="120"/>
      <c r="E143" s="120"/>
    </row>
    <row r="144">
      <c r="A144" s="120"/>
      <c r="B144" s="120"/>
      <c r="C144" s="120"/>
      <c r="E144" s="120"/>
    </row>
    <row r="145">
      <c r="A145" s="120"/>
      <c r="B145" s="120"/>
      <c r="C145" s="120"/>
      <c r="E145" s="120"/>
    </row>
    <row r="146">
      <c r="A146" s="120"/>
      <c r="B146" s="120"/>
      <c r="C146" s="120"/>
      <c r="E146" s="120"/>
    </row>
    <row r="147">
      <c r="A147" s="120"/>
      <c r="B147" s="120"/>
      <c r="C147" s="120"/>
      <c r="E147" s="120"/>
    </row>
    <row r="148">
      <c r="A148" s="120"/>
      <c r="B148" s="120"/>
      <c r="C148" s="120"/>
      <c r="E148" s="120"/>
    </row>
    <row r="149">
      <c r="A149" s="120"/>
      <c r="B149" s="120"/>
      <c r="C149" s="120"/>
      <c r="E149" s="120"/>
    </row>
    <row r="150">
      <c r="A150" s="120"/>
      <c r="B150" s="120"/>
      <c r="C150" s="120"/>
      <c r="E150" s="120"/>
    </row>
    <row r="151">
      <c r="A151" s="120"/>
      <c r="B151" s="120"/>
      <c r="C151" s="120"/>
      <c r="E151" s="120"/>
    </row>
    <row r="152">
      <c r="A152" s="120"/>
      <c r="B152" s="120"/>
      <c r="C152" s="120"/>
      <c r="E152" s="120"/>
    </row>
    <row r="153">
      <c r="A153" s="120"/>
      <c r="B153" s="120"/>
      <c r="C153" s="120"/>
      <c r="E153" s="120"/>
    </row>
    <row r="154">
      <c r="A154" s="120"/>
      <c r="B154" s="120"/>
      <c r="C154" s="120"/>
      <c r="E154" s="120"/>
    </row>
    <row r="155">
      <c r="A155" s="120"/>
      <c r="B155" s="120"/>
      <c r="C155" s="120"/>
      <c r="E155" s="120"/>
    </row>
    <row r="156">
      <c r="A156" s="120"/>
      <c r="B156" s="120"/>
      <c r="C156" s="120"/>
      <c r="E156" s="120"/>
    </row>
    <row r="157">
      <c r="A157" s="120"/>
      <c r="B157" s="120"/>
      <c r="C157" s="120"/>
      <c r="E157" s="120"/>
    </row>
    <row r="158">
      <c r="A158" s="120"/>
      <c r="B158" s="120"/>
      <c r="C158" s="120"/>
      <c r="E158" s="120"/>
    </row>
    <row r="159">
      <c r="A159" s="120"/>
      <c r="B159" s="120"/>
      <c r="C159" s="120"/>
      <c r="E159" s="120"/>
    </row>
    <row r="160">
      <c r="A160" s="120"/>
      <c r="B160" s="120"/>
      <c r="C160" s="120"/>
      <c r="E160" s="120"/>
    </row>
    <row r="161">
      <c r="A161" s="120"/>
      <c r="B161" s="120"/>
      <c r="C161" s="120"/>
      <c r="E161" s="120"/>
    </row>
    <row r="162">
      <c r="A162" s="120"/>
      <c r="B162" s="120"/>
      <c r="C162" s="120"/>
      <c r="E162" s="120"/>
    </row>
    <row r="163">
      <c r="A163" s="120"/>
      <c r="B163" s="120"/>
      <c r="C163" s="120"/>
      <c r="E163" s="120"/>
    </row>
    <row r="164">
      <c r="A164" s="120"/>
      <c r="B164" s="120"/>
      <c r="C164" s="120"/>
      <c r="E164" s="120"/>
    </row>
    <row r="165">
      <c r="A165" s="120"/>
      <c r="B165" s="120"/>
      <c r="C165" s="120"/>
      <c r="E165" s="120"/>
    </row>
    <row r="166">
      <c r="A166" s="120"/>
      <c r="B166" s="120"/>
      <c r="C166" s="120"/>
      <c r="E166" s="120"/>
    </row>
    <row r="167">
      <c r="A167" s="120"/>
      <c r="B167" s="120"/>
      <c r="C167" s="120"/>
      <c r="E167" s="120"/>
    </row>
    <row r="168">
      <c r="A168" s="120"/>
      <c r="B168" s="120"/>
      <c r="C168" s="120"/>
      <c r="E168" s="120"/>
    </row>
    <row r="169">
      <c r="A169" s="120"/>
      <c r="B169" s="120"/>
      <c r="C169" s="120"/>
      <c r="E169" s="120"/>
    </row>
    <row r="170">
      <c r="A170" s="120"/>
      <c r="B170" s="120"/>
      <c r="C170" s="120"/>
      <c r="E170" s="120"/>
    </row>
    <row r="171">
      <c r="A171" s="120"/>
      <c r="B171" s="120"/>
      <c r="C171" s="120"/>
      <c r="E171" s="120"/>
    </row>
    <row r="172">
      <c r="A172" s="120"/>
      <c r="B172" s="120"/>
      <c r="C172" s="120"/>
      <c r="E172" s="120"/>
    </row>
    <row r="173">
      <c r="A173" s="120"/>
      <c r="B173" s="120"/>
      <c r="C173" s="120"/>
      <c r="E173" s="120"/>
    </row>
    <row r="174">
      <c r="A174" s="120"/>
      <c r="B174" s="120"/>
      <c r="C174" s="120"/>
      <c r="E174" s="120"/>
    </row>
    <row r="175">
      <c r="A175" s="120"/>
      <c r="B175" s="120"/>
      <c r="C175" s="120"/>
      <c r="E175" s="120"/>
    </row>
    <row r="176">
      <c r="A176" s="120"/>
      <c r="B176" s="120"/>
      <c r="C176" s="120"/>
      <c r="E176" s="120"/>
    </row>
    <row r="177">
      <c r="A177" s="120"/>
      <c r="B177" s="120"/>
      <c r="C177" s="120"/>
      <c r="E177" s="120"/>
    </row>
    <row r="178">
      <c r="A178" s="120"/>
      <c r="B178" s="120"/>
      <c r="C178" s="120"/>
      <c r="E178" s="120"/>
    </row>
    <row r="179">
      <c r="A179" s="120"/>
      <c r="B179" s="120"/>
      <c r="C179" s="120"/>
      <c r="E179" s="120"/>
    </row>
    <row r="180">
      <c r="A180" s="120"/>
      <c r="B180" s="120"/>
      <c r="C180" s="120"/>
      <c r="E180" s="120"/>
    </row>
    <row r="181">
      <c r="A181" s="120"/>
      <c r="B181" s="120"/>
      <c r="C181" s="120"/>
      <c r="E181" s="120"/>
    </row>
    <row r="182">
      <c r="A182" s="120"/>
      <c r="B182" s="120"/>
      <c r="C182" s="120"/>
      <c r="E182" s="120"/>
    </row>
    <row r="183">
      <c r="A183" s="120"/>
      <c r="B183" s="120"/>
      <c r="C183" s="120"/>
      <c r="E183" s="120"/>
    </row>
    <row r="184">
      <c r="A184" s="120"/>
      <c r="B184" s="120"/>
      <c r="C184" s="120"/>
      <c r="E184" s="120"/>
    </row>
    <row r="185">
      <c r="A185" s="120"/>
      <c r="B185" s="120"/>
      <c r="C185" s="120"/>
      <c r="E185" s="120"/>
    </row>
    <row r="186">
      <c r="A186" s="120"/>
      <c r="B186" s="120"/>
      <c r="C186" s="120"/>
      <c r="E186" s="120"/>
    </row>
    <row r="187">
      <c r="A187" s="120"/>
      <c r="B187" s="120"/>
      <c r="C187" s="120"/>
      <c r="E187" s="120"/>
    </row>
    <row r="188">
      <c r="A188" s="120"/>
      <c r="B188" s="120"/>
      <c r="C188" s="120"/>
      <c r="E188" s="120"/>
    </row>
    <row r="189">
      <c r="A189" s="120"/>
      <c r="B189" s="120"/>
      <c r="C189" s="120"/>
      <c r="E189" s="120"/>
    </row>
    <row r="190">
      <c r="A190" s="120"/>
      <c r="B190" s="120"/>
      <c r="C190" s="120"/>
      <c r="E190" s="120"/>
    </row>
    <row r="191">
      <c r="A191" s="120"/>
      <c r="B191" s="120"/>
      <c r="C191" s="120"/>
      <c r="E191" s="120"/>
    </row>
    <row r="192">
      <c r="A192" s="120"/>
      <c r="B192" s="120"/>
      <c r="C192" s="120"/>
      <c r="E192" s="120"/>
    </row>
    <row r="193">
      <c r="A193" s="120"/>
      <c r="B193" s="120"/>
      <c r="C193" s="120"/>
      <c r="E193" s="120"/>
    </row>
    <row r="194">
      <c r="A194" s="120"/>
      <c r="B194" s="120"/>
      <c r="C194" s="120"/>
      <c r="E194" s="120"/>
    </row>
    <row r="195">
      <c r="A195" s="120"/>
      <c r="B195" s="120"/>
      <c r="C195" s="120"/>
      <c r="E195" s="120"/>
    </row>
    <row r="196">
      <c r="A196" s="120"/>
      <c r="B196" s="120"/>
      <c r="C196" s="120"/>
      <c r="E196" s="120"/>
    </row>
    <row r="197">
      <c r="A197" s="120"/>
      <c r="B197" s="120"/>
      <c r="C197" s="120"/>
      <c r="E197" s="120"/>
    </row>
    <row r="198">
      <c r="A198" s="120"/>
      <c r="B198" s="120"/>
      <c r="C198" s="120"/>
      <c r="E198" s="120"/>
    </row>
    <row r="199">
      <c r="A199" s="120"/>
      <c r="B199" s="120"/>
      <c r="C199" s="120"/>
      <c r="E199" s="120"/>
    </row>
    <row r="200">
      <c r="A200" s="120"/>
      <c r="B200" s="120"/>
      <c r="C200" s="120"/>
      <c r="E200" s="120"/>
    </row>
  </sheetData>
  <autoFilter ref="A1:F14"/>
  <pageMargins bottom="1" footer="0.5" header="0.5" left="0.75" right="0.75" top="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E75B6"/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8" defaultRowHeight="16"/>
  <cols>
    <col collapsed="false" customWidth="true" hidden="false" max="12" min="12" style="0" width="7"/>
    <col collapsed="false" customWidth="true" hidden="true" max="12" min="12" style="0" width="7"/>
    <col collapsed="false" customWidth="true" hidden="false" max="28" min="28" style="0" width="7"/>
    <col collapsed="false" customWidth="true" hidden="true" max="28" min="28" style="0" width="7"/>
    <col collapsed="false" customWidth="true" hidden="false" max="44" min="44" style="0" width="7"/>
    <col collapsed="false" customWidth="true" hidden="true" max="44" min="44" style="0" width="7"/>
    <col collapsed="false" customWidth="true" hidden="false" max="60" min="60" style="0" width="8"/>
    <col collapsed="false" customWidth="true" hidden="false" max="75" min="75" style="0" width="8"/>
    <col collapsed="false" customWidth="true" hidden="false" max="91" min="91" style="0" width="11"/>
    <col collapsed="false" customWidth="true" hidden="true" max="91" min="91" style="0" width="11"/>
    <col collapsed="false" customWidth="true" hidden="false" max="11" min="11" style="0" width="7"/>
    <col collapsed="false" customWidth="true" hidden="true" max="11" min="11" style="0" width="7"/>
    <col collapsed="false" customWidth="true" hidden="false" max="27" min="27" style="0" width="7"/>
    <col collapsed="false" customWidth="true" hidden="true" max="27" min="27" style="0" width="7"/>
    <col collapsed="false" customWidth="true" hidden="false" max="43" min="43" style="0" width="7"/>
    <col collapsed="false" customWidth="true" hidden="true" max="43" min="43" style="0" width="7"/>
    <col collapsed="false" customWidth="true" hidden="false" max="59" min="59" style="0" width="8"/>
    <col collapsed="false" customWidth="true" hidden="false" max="74" min="74" style="0" width="8"/>
    <col collapsed="false" customWidth="true" hidden="false" max="90" min="90" style="0" width="11"/>
    <col collapsed="false" customWidth="true" hidden="true" max="90" min="90" style="0" width="11"/>
    <col collapsed="false" customWidth="true" hidden="false" max="10" min="10" style="0" width="7"/>
    <col collapsed="false" customWidth="true" hidden="true" max="10" min="10" style="0" width="7"/>
    <col collapsed="false" customWidth="true" hidden="false" max="26" min="26" style="0" width="7"/>
    <col collapsed="false" customWidth="true" hidden="true" max="26" min="26" style="0" width="7"/>
    <col collapsed="false" customWidth="true" hidden="false" max="42" min="42" style="0" width="7"/>
    <col collapsed="false" customWidth="true" hidden="true" max="42" min="42" style="0" width="7"/>
    <col collapsed="false" customWidth="true" hidden="false" max="58" min="58" style="0" width="8"/>
    <col collapsed="false" customWidth="true" hidden="false" max="73" min="73" style="0" width="8"/>
    <col collapsed="false" customWidth="true" hidden="false" max="89" min="89" style="0" width="5"/>
    <col collapsed="false" customWidth="true" hidden="true" max="89" min="89" style="0" width="5"/>
    <col collapsed="false" customWidth="true" hidden="false" max="9" min="9" style="0" width="7"/>
    <col collapsed="false" customWidth="true" hidden="true" max="9" min="9" style="0" width="7"/>
    <col collapsed="false" customWidth="true" hidden="false" max="25" min="25" style="0" width="7"/>
    <col collapsed="false" customWidth="true" hidden="true" max="25" min="25" style="0" width="7"/>
    <col collapsed="false" customWidth="true" hidden="false" max="41" min="41" style="0" width="7"/>
    <col collapsed="false" customWidth="true" hidden="true" max="41" min="41" style="0" width="7"/>
    <col collapsed="false" customWidth="true" hidden="false" max="57" min="57" style="0" width="8"/>
    <col collapsed="false" customWidth="true" hidden="false" max="80" min="80" style="0" width="9"/>
    <col collapsed="false" customWidth="true" hidden="true" max="80" min="80" style="0" width="9"/>
    <col collapsed="false" customWidth="true" hidden="false" max="16" min="16" style="0" width="7"/>
    <col collapsed="false" customWidth="true" hidden="true" max="16" min="16" style="0" width="7"/>
    <col collapsed="false" customWidth="true" hidden="false" max="32" min="32" style="0" width="7"/>
    <col collapsed="false" customWidth="true" hidden="true" max="32" min="32" style="0" width="7"/>
    <col collapsed="false" customWidth="true" hidden="false" max="48" min="48" style="0" width="7"/>
    <col collapsed="false" customWidth="true" hidden="true" max="48" min="48" style="0" width="7"/>
    <col collapsed="false" customWidth="true" hidden="false" max="64" min="64" style="0" width="8"/>
    <col collapsed="false" customWidth="true" hidden="false" max="79" min="79" style="0" width="9"/>
    <col collapsed="false" customWidth="true" hidden="true" max="79" min="79" style="0" width="9"/>
    <col collapsed="false" customWidth="true" hidden="false" max="95" min="95" style="0" width="11"/>
    <col collapsed="false" customWidth="true" hidden="true" max="95" min="95" style="0" width="11"/>
    <col collapsed="false" customWidth="true" hidden="false" max="15" min="15" style="0" width="7"/>
    <col collapsed="false" customWidth="true" hidden="true" max="15" min="15" style="0" width="7"/>
    <col collapsed="false" customWidth="true" hidden="false" max="31" min="31" style="0" width="7"/>
    <col collapsed="false" customWidth="true" hidden="true" max="31" min="31" style="0" width="7"/>
    <col collapsed="false" customWidth="true" hidden="false" max="47" min="47" style="0" width="7"/>
    <col collapsed="false" customWidth="true" hidden="true" max="47" min="47" style="0" width="7"/>
    <col collapsed="false" customWidth="true" hidden="false" max="63" min="63" style="0" width="8"/>
    <col collapsed="false" customWidth="true" hidden="false" max="78" min="78" style="0" width="9"/>
    <col collapsed="false" customWidth="true" hidden="true" max="78" min="78" style="0" width="9"/>
    <col collapsed="false" customWidth="true" hidden="false" max="94" min="94" style="0" width="11"/>
    <col collapsed="false" customWidth="true" hidden="true" max="94" min="94" style="0" width="11"/>
    <col collapsed="false" customWidth="true" hidden="false" max="14" min="14" style="0" width="7"/>
    <col collapsed="false" customWidth="true" hidden="true" max="14" min="14" style="0" width="7"/>
    <col collapsed="false" customWidth="true" hidden="false" max="30" min="30" style="0" width="7"/>
    <col collapsed="false" customWidth="true" hidden="true" max="30" min="30" style="0" width="7"/>
    <col collapsed="false" customWidth="true" hidden="false" max="46" min="46" style="0" width="7"/>
    <col collapsed="false" customWidth="true" hidden="true" max="46" min="46" style="0" width="7"/>
    <col collapsed="false" customWidth="true" hidden="false" max="62" min="62" style="0" width="8"/>
    <col collapsed="false" customWidth="true" hidden="false" max="77" min="77" style="0" width="9"/>
    <col collapsed="false" customWidth="true" hidden="true" max="77" min="77" style="0" width="9"/>
    <col collapsed="false" customWidth="true" hidden="false" max="93" min="93" style="0" width="11"/>
    <col collapsed="false" customWidth="true" hidden="true" max="93" min="93" style="0" width="11"/>
    <col collapsed="false" customWidth="true" hidden="false" max="13" min="13" style="0" width="7"/>
    <col collapsed="false" customWidth="true" hidden="true" max="13" min="13" style="0" width="7"/>
    <col collapsed="false" customWidth="true" hidden="false" max="29" min="29" style="0" width="7"/>
    <col collapsed="false" customWidth="true" hidden="true" max="29" min="29" style="0" width="7"/>
    <col collapsed="false" customWidth="true" hidden="false" max="45" min="45" style="0" width="7"/>
    <col collapsed="false" customWidth="true" hidden="true" max="45" min="45" style="0" width="7"/>
    <col collapsed="false" customWidth="true" hidden="false" max="61" min="61" style="0" width="8"/>
    <col collapsed="false" customWidth="true" hidden="false" max="68" min="68" style="0" width="8"/>
    <col collapsed="false" customWidth="true" hidden="false" max="84" min="84" style="0" width="5"/>
    <col collapsed="false" customWidth="true" hidden="true" max="84" min="84" style="0" width="5"/>
    <col collapsed="false" customWidth="true" hidden="false" max="4" min="4" style="0" width="7"/>
    <col collapsed="false" customWidth="true" hidden="true" max="4" min="4" style="0" width="7"/>
    <col collapsed="false" customWidth="true" hidden="false" max="20" min="20" style="0" width="7"/>
    <col collapsed="false" customWidth="true" hidden="true" max="20" min="20" style="0" width="7"/>
    <col collapsed="false" customWidth="true" hidden="false" max="36" min="36" style="0" width="7"/>
    <col collapsed="false" customWidth="true" hidden="true" max="36" min="36" style="0" width="7"/>
    <col collapsed="false" customWidth="true" hidden="false" max="52" min="52" style="0" width="8"/>
    <col collapsed="false" customWidth="true" hidden="false" max="67" min="67" style="0" width="8"/>
    <col collapsed="false" customWidth="true" hidden="false" max="83" min="83" style="0" width="5"/>
    <col collapsed="false" customWidth="true" hidden="true" max="83" min="83" style="0" width="5"/>
    <col collapsed="false" customWidth="true" hidden="false" max="3" min="3" style="0" width="15"/>
    <col collapsed="false" customWidth="true" hidden="false" max="19" min="19" style="0" width="7"/>
    <col collapsed="false" customWidth="true" hidden="true" max="19" min="19" style="0" width="7"/>
    <col collapsed="false" customWidth="true" hidden="false" max="35" min="35" style="0" width="7"/>
    <col collapsed="false" customWidth="true" hidden="true" max="35" min="35" style="0" width="7"/>
    <col collapsed="false" customWidth="true" hidden="false" max="51" min="51" style="0" width="7"/>
    <col collapsed="false" customWidth="true" hidden="true" max="51" min="51" style="0" width="7"/>
    <col collapsed="false" customWidth="true" hidden="false" max="66" min="66" style="0" width="8"/>
    <col collapsed="false" customWidth="true" hidden="false" max="82" min="82" style="0" width="9"/>
    <col collapsed="false" customWidth="true" hidden="true" max="82" min="82" style="0" width="9"/>
    <col collapsed="false" customWidth="true" hidden="false" max="2" min="2" style="0" width="8"/>
    <col collapsed="false" customWidth="true" hidden="false" max="18" min="18" style="0" width="7"/>
    <col collapsed="false" customWidth="true" hidden="true" max="18" min="18" style="0" width="7"/>
    <col collapsed="false" customWidth="true" hidden="false" max="34" min="34" style="0" width="7"/>
    <col collapsed="false" customWidth="true" hidden="true" max="34" min="34" style="0" width="7"/>
    <col collapsed="false" customWidth="true" hidden="false" max="50" min="50" style="0" width="7"/>
    <col collapsed="false" customWidth="true" hidden="true" max="50" min="50" style="0" width="7"/>
    <col collapsed="false" customWidth="true" hidden="false" max="65" min="65" style="0" width="8"/>
    <col collapsed="false" customWidth="true" hidden="false" max="81" min="81" style="0" width="9"/>
    <col collapsed="false" customWidth="true" hidden="true" max="81" min="81" style="0" width="9"/>
    <col collapsed="false" customWidth="true" hidden="false" max="1" min="1" style="0" width="9"/>
    <col collapsed="false" customWidth="true" hidden="false" max="17" min="17" style="0" width="7"/>
    <col collapsed="false" customWidth="true" hidden="true" max="17" min="17" style="0" width="7"/>
    <col collapsed="false" customWidth="true" hidden="false" max="33" min="33" style="0" width="7"/>
    <col collapsed="false" customWidth="true" hidden="true" max="33" min="33" style="0" width="7"/>
    <col collapsed="false" customWidth="true" hidden="false" max="49" min="49" style="0" width="7"/>
    <col collapsed="false" customWidth="true" hidden="true" max="49" min="49" style="0" width="7"/>
    <col collapsed="false" customWidth="true" hidden="false" max="72" min="72" style="0" width="10"/>
    <col collapsed="false" customWidth="true" hidden="false" max="88" min="88" style="0" width="5"/>
    <col collapsed="false" customWidth="true" hidden="true" max="88" min="88" style="0" width="5"/>
    <col collapsed="false" customWidth="true" hidden="false" max="8" min="8" style="0" width="7"/>
    <col collapsed="false" customWidth="true" hidden="true" max="8" min="8" style="0" width="7"/>
    <col collapsed="false" customWidth="true" hidden="false" max="24" min="24" style="0" width="7"/>
    <col collapsed="false" customWidth="true" hidden="true" max="24" min="24" style="0" width="7"/>
    <col collapsed="false" customWidth="true" hidden="false" max="40" min="40" style="0" width="7"/>
    <col collapsed="false" customWidth="true" hidden="true" max="40" min="40" style="0" width="7"/>
    <col collapsed="false" customWidth="true" hidden="false" max="56" min="56" style="0" width="8"/>
    <col collapsed="false" customWidth="true" hidden="false" max="71" min="71" style="0" width="8"/>
    <col collapsed="false" customWidth="true" hidden="false" max="87" min="87" style="0" width="5"/>
    <col collapsed="false" customWidth="true" hidden="true" max="87" min="87" style="0" width="5"/>
    <col collapsed="false" customWidth="true" hidden="false" max="7" min="7" style="0" width="7"/>
    <col collapsed="false" customWidth="true" hidden="true" max="7" min="7" style="0" width="7"/>
    <col collapsed="false" customWidth="true" hidden="false" max="23" min="23" style="0" width="7"/>
    <col collapsed="false" customWidth="true" hidden="true" max="23" min="23" style="0" width="7"/>
    <col collapsed="false" customWidth="true" hidden="false" max="39" min="39" style="0" width="7"/>
    <col collapsed="false" customWidth="true" hidden="true" max="39" min="39" style="0" width="7"/>
    <col collapsed="false" customWidth="true" hidden="false" max="55" min="55" style="0" width="8"/>
    <col collapsed="false" customWidth="true" hidden="false" max="70" min="70" style="0" width="8"/>
    <col collapsed="false" customWidth="true" hidden="false" max="86" min="86" style="0" width="5"/>
    <col collapsed="false" customWidth="true" hidden="true" max="86" min="86" style="0" width="5"/>
    <col collapsed="false" customWidth="true" hidden="false" max="6" min="6" style="0" width="7"/>
    <col collapsed="false" customWidth="true" hidden="true" max="6" min="6" style="0" width="7"/>
    <col collapsed="false" customWidth="true" hidden="false" max="22" min="22" style="0" width="7"/>
    <col collapsed="false" customWidth="true" hidden="true" max="22" min="22" style="0" width="7"/>
    <col collapsed="false" customWidth="true" hidden="false" max="38" min="38" style="0" width="7"/>
    <col collapsed="false" customWidth="true" hidden="true" max="38" min="38" style="0" width="7"/>
    <col collapsed="false" customWidth="true" hidden="false" max="54" min="54" style="0" width="8"/>
    <col collapsed="false" customWidth="true" hidden="false" max="69" min="69" style="0" width="8"/>
    <col collapsed="false" customWidth="true" hidden="false" max="85" min="85" style="0" width="5"/>
    <col collapsed="false" customWidth="true" hidden="true" max="85" min="85" style="0" width="5"/>
    <col collapsed="false" customWidth="true" hidden="false" max="5" min="5" style="0" width="7"/>
    <col collapsed="false" customWidth="true" hidden="true" max="5" min="5" style="0" width="7"/>
    <col collapsed="false" customWidth="true" hidden="false" max="21" min="21" style="0" width="7"/>
    <col collapsed="false" customWidth="true" hidden="true" max="21" min="21" style="0" width="7"/>
    <col collapsed="false" customWidth="true" hidden="false" max="37" min="37" style="0" width="7"/>
    <col collapsed="false" customWidth="true" hidden="true" max="37" min="37" style="0" width="7"/>
    <col collapsed="false" customWidth="true" hidden="false" max="53" min="53" style="0" width="8"/>
    <col collapsed="false" customWidth="true" hidden="false" max="76" min="76" style="0" width="8"/>
    <col collapsed="false" customWidth="true" hidden="false" max="92" min="92" style="0" width="11"/>
    <col collapsed="false" customWidth="true" hidden="true" max="92" min="92" style="0" width="11"/>
  </cols>
  <sheetData>
    <row customHeight="true" ht="24" r="1">
      <c r="A1" s="121"/>
      <c r="B1" s="122" t="s">
        <v>190</v>
      </c>
      <c r="C1" s="123" t="s">
        <v>191</v>
      </c>
      <c r="D1" s="124" t="s">
        <v>192</v>
      </c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6"/>
      <c r="P1" s="127" t="s">
        <v>193</v>
      </c>
      <c r="Q1" s="127"/>
      <c r="R1" s="127"/>
      <c r="S1" s="127"/>
      <c r="T1" s="127"/>
      <c r="U1" s="127"/>
      <c r="V1" s="124" t="s">
        <v>194</v>
      </c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6"/>
      <c r="AH1" s="127" t="s">
        <v>193</v>
      </c>
      <c r="AI1" s="127"/>
      <c r="AJ1" s="127"/>
      <c r="AK1" s="127"/>
      <c r="AL1" s="127"/>
      <c r="AM1" s="127"/>
      <c r="AN1" s="127" t="s">
        <v>195</v>
      </c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 t="s">
        <v>196</v>
      </c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8" t="s">
        <v>193</v>
      </c>
      <c r="BM1" s="129"/>
      <c r="BN1" s="129"/>
      <c r="BO1" s="129"/>
      <c r="BP1" s="129"/>
      <c r="BQ1" s="129"/>
      <c r="BR1" s="129"/>
      <c r="BS1" s="130"/>
      <c r="BT1" s="127"/>
      <c r="BU1" s="127"/>
      <c r="BV1" s="127"/>
      <c r="BW1" s="127"/>
      <c r="BX1" s="127"/>
      <c r="BY1" s="127" t="s">
        <v>197</v>
      </c>
      <c r="BZ1" s="127"/>
      <c r="CA1" s="127"/>
      <c r="CB1" s="127"/>
      <c r="CC1" s="127"/>
      <c r="CD1" s="127"/>
      <c r="CE1" s="131">
        <v>0.0392234153237596</v>
      </c>
      <c r="CF1" s="127" t="s">
        <v>198</v>
      </c>
      <c r="CG1" s="127"/>
      <c r="CH1" s="127"/>
      <c r="CI1" s="127"/>
      <c r="CJ1" s="127"/>
      <c r="CK1" s="127"/>
      <c r="CL1" s="127" t="s">
        <v>199</v>
      </c>
      <c r="CM1" s="127"/>
      <c r="CN1" s="127"/>
      <c r="CO1" s="127"/>
      <c r="CP1" s="127"/>
      <c r="CQ1" s="127"/>
    </row>
    <row customHeight="true" ht="23" r="2">
      <c r="A2" s="132"/>
      <c r="B2" s="122"/>
      <c r="C2" s="133"/>
      <c r="D2" s="122" t="s">
        <v>200</v>
      </c>
      <c r="E2" s="122" t="s">
        <v>201</v>
      </c>
      <c r="F2" s="122" t="s">
        <v>202</v>
      </c>
      <c r="G2" s="122" t="s">
        <v>203</v>
      </c>
      <c r="H2" s="122" t="s">
        <v>204</v>
      </c>
      <c r="I2" s="122" t="s">
        <v>205</v>
      </c>
      <c r="J2" s="122" t="s">
        <v>206</v>
      </c>
      <c r="K2" s="122" t="s">
        <v>207</v>
      </c>
      <c r="L2" s="122" t="s">
        <v>208</v>
      </c>
      <c r="M2" s="122" t="s">
        <v>209</v>
      </c>
      <c r="N2" s="122" t="s">
        <v>210</v>
      </c>
      <c r="O2" s="122" t="s">
        <v>211</v>
      </c>
      <c r="P2" s="122" t="s">
        <v>200</v>
      </c>
      <c r="Q2" s="122" t="s">
        <v>201</v>
      </c>
      <c r="R2" s="122" t="s">
        <v>202</v>
      </c>
      <c r="S2" s="122" t="s">
        <v>203</v>
      </c>
      <c r="T2" s="122" t="s">
        <v>204</v>
      </c>
      <c r="U2" s="122" t="s">
        <v>205</v>
      </c>
      <c r="V2" s="122" t="s">
        <v>200</v>
      </c>
      <c r="W2" s="122" t="s">
        <v>201</v>
      </c>
      <c r="X2" s="122" t="s">
        <v>202</v>
      </c>
      <c r="Y2" s="122" t="s">
        <v>203</v>
      </c>
      <c r="Z2" s="122" t="s">
        <v>204</v>
      </c>
      <c r="AA2" s="122" t="s">
        <v>205</v>
      </c>
      <c r="AB2" s="122" t="s">
        <v>206</v>
      </c>
      <c r="AC2" s="122" t="s">
        <v>207</v>
      </c>
      <c r="AD2" s="122" t="s">
        <v>208</v>
      </c>
      <c r="AE2" s="122" t="s">
        <v>209</v>
      </c>
      <c r="AF2" s="122" t="s">
        <v>210</v>
      </c>
      <c r="AG2" s="122" t="s">
        <v>211</v>
      </c>
      <c r="AH2" s="122" t="s">
        <v>200</v>
      </c>
      <c r="AI2" s="122" t="s">
        <v>201</v>
      </c>
      <c r="AJ2" s="122" t="s">
        <v>202</v>
      </c>
      <c r="AK2" s="122" t="s">
        <v>203</v>
      </c>
      <c r="AL2" s="122" t="s">
        <v>204</v>
      </c>
      <c r="AM2" s="122" t="s">
        <v>205</v>
      </c>
      <c r="AN2" s="122" t="s">
        <v>200</v>
      </c>
      <c r="AO2" s="122" t="s">
        <v>201</v>
      </c>
      <c r="AP2" s="122" t="s">
        <v>202</v>
      </c>
      <c r="AQ2" s="122" t="s">
        <v>203</v>
      </c>
      <c r="AR2" s="122" t="s">
        <v>204</v>
      </c>
      <c r="AS2" s="122" t="s">
        <v>205</v>
      </c>
      <c r="AT2" s="122" t="s">
        <v>206</v>
      </c>
      <c r="AU2" s="122" t="s">
        <v>207</v>
      </c>
      <c r="AV2" s="122" t="s">
        <v>208</v>
      </c>
      <c r="AW2" s="122" t="s">
        <v>209</v>
      </c>
      <c r="AX2" s="122" t="s">
        <v>210</v>
      </c>
      <c r="AY2" s="122" t="s">
        <v>211</v>
      </c>
      <c r="AZ2" s="122" t="s">
        <v>200</v>
      </c>
      <c r="BA2" s="122" t="s">
        <v>201</v>
      </c>
      <c r="BB2" s="122" t="s">
        <v>202</v>
      </c>
      <c r="BC2" s="122" t="s">
        <v>203</v>
      </c>
      <c r="BD2" s="122" t="s">
        <v>204</v>
      </c>
      <c r="BE2" s="122" t="s">
        <v>205</v>
      </c>
      <c r="BF2" s="122" t="s">
        <v>206</v>
      </c>
      <c r="BG2" s="122" t="s">
        <v>207</v>
      </c>
      <c r="BH2" s="122" t="s">
        <v>208</v>
      </c>
      <c r="BI2" s="122" t="s">
        <v>209</v>
      </c>
      <c r="BJ2" s="122" t="s">
        <v>210</v>
      </c>
      <c r="BK2" s="122" t="s">
        <v>211</v>
      </c>
      <c r="BL2" s="122" t="s">
        <v>200</v>
      </c>
      <c r="BM2" s="122" t="s">
        <v>201</v>
      </c>
      <c r="BN2" s="122" t="s">
        <v>202</v>
      </c>
      <c r="BO2" s="122" t="s">
        <v>203</v>
      </c>
      <c r="BP2" s="122" t="s">
        <v>204</v>
      </c>
      <c r="BQ2" s="122" t="s">
        <v>212</v>
      </c>
      <c r="BR2" s="122" t="s">
        <v>206</v>
      </c>
      <c r="BS2" s="122" t="s">
        <v>213</v>
      </c>
      <c r="BT2" s="122" t="s">
        <v>214</v>
      </c>
      <c r="BU2" s="122" t="s">
        <v>215</v>
      </c>
      <c r="BV2" s="122" t="s">
        <v>216</v>
      </c>
      <c r="BW2" s="122"/>
      <c r="BX2" s="122" t="s">
        <v>215</v>
      </c>
      <c r="BY2" s="122" t="s">
        <v>200</v>
      </c>
      <c r="BZ2" s="122" t="s">
        <v>201</v>
      </c>
      <c r="CA2" s="122" t="s">
        <v>202</v>
      </c>
      <c r="CB2" s="122" t="s">
        <v>203</v>
      </c>
      <c r="CC2" s="122" t="s">
        <v>204</v>
      </c>
      <c r="CD2" s="122" t="s">
        <v>205</v>
      </c>
      <c r="CE2" s="132"/>
      <c r="CF2" s="122" t="s">
        <v>200</v>
      </c>
      <c r="CG2" s="122" t="s">
        <v>201</v>
      </c>
      <c r="CH2" s="122" t="s">
        <v>202</v>
      </c>
      <c r="CI2" s="122" t="s">
        <v>203</v>
      </c>
      <c r="CJ2" s="122" t="s">
        <v>204</v>
      </c>
      <c r="CK2" s="122" t="s">
        <v>205</v>
      </c>
      <c r="CL2" s="122" t="s">
        <v>200</v>
      </c>
      <c r="CM2" s="122" t="s">
        <v>201</v>
      </c>
      <c r="CN2" s="122" t="s">
        <v>202</v>
      </c>
      <c r="CO2" s="122" t="s">
        <v>203</v>
      </c>
      <c r="CP2" s="122" t="s">
        <v>204</v>
      </c>
      <c r="CQ2" s="122" t="s">
        <v>205</v>
      </c>
    </row>
    <row customHeight="true" ht="12" r="3">
      <c r="A3" s="134" cm="1">
        <f t="array" ref="A3:A3">_xlfn.XLOOKUP(C3,'产品基础信息'!B:B,'产品基础信息'!C:C)</f>
      </c>
      <c r="B3" s="135">
        <f>'产品基础信息'!A2</f>
      </c>
      <c r="C3" s="135">
        <f>'产品基础信息'!B2</f>
      </c>
      <c r="D3" s="136">
        <v>0</v>
      </c>
      <c r="E3" s="137">
        <f>IFERROR((BA3-AZ3)/AZ3,"-")</f>
      </c>
      <c r="F3" s="137">
        <f>IFERROR((BB3-BA3)/BA3,"-")</f>
      </c>
      <c r="G3" s="137">
        <f>IFERROR((BC3-BB3)/BB3,"-")</f>
      </c>
      <c r="H3" s="137">
        <f>IFERROR((BD3-BC3)/BC3,"-")</f>
      </c>
      <c r="I3" s="137">
        <f>IFERROR((BE3-BD3)/BD3,"-")</f>
      </c>
      <c r="J3" s="137">
        <f>IFERROR((BF3-BE3)/BE3,"-")</f>
      </c>
      <c r="K3" s="137">
        <f>IFERROR((BG3-BF3)/BF3,"-")</f>
      </c>
      <c r="L3" s="137">
        <f>IFERROR((BH3-BG3)/BG3,"-")</f>
      </c>
      <c r="M3" s="137">
        <f>IFERROR((BI3-BH3)/BH3,"-")</f>
      </c>
      <c r="N3" s="137">
        <f>IFERROR((BJ3-BI3)/BI3,"-")</f>
      </c>
      <c r="O3" s="137">
        <f>IFERROR((BK3-BJ3)/BJ3,"-")</f>
      </c>
      <c r="P3" s="137">
        <f>IFERROR((BL3-BK3)/BK3,"-")</f>
      </c>
      <c r="Q3" s="137">
        <f>IFERROR((BM3-BL3)/BL3,"-")</f>
      </c>
      <c r="R3" s="137">
        <f>IFERROR((BN3-BM3)/BM3,"-")</f>
      </c>
      <c r="S3" s="137">
        <f>IFERROR((BO3-BN3)/BN3,"-")</f>
      </c>
      <c r="T3" s="137">
        <f>IFERROR((BP3-BO3)/BO3,"-")</f>
      </c>
      <c r="U3" s="137">
        <f>IFERROR((BQ3-BP3)/BP3,"-")</f>
      </c>
      <c r="V3" s="137">
        <f t="shared" ref="V3:V8" si="0">AZ3/SUM($AZ3:$BE3)</f>
      </c>
      <c r="W3" s="137">
        <f t="shared" ref="W3:W8" si="2">BA3/SUM($AZ3:$BE3)</f>
      </c>
      <c r="X3" s="137">
        <f t="shared" ref="X3:X8" si="4">BB3/SUM($AZ3:$BE3)</f>
      </c>
      <c r="Y3" s="137">
        <f t="shared" ref="Y3:Y8" si="6">BC3/SUM($AZ3:$BE3)</f>
      </c>
      <c r="Z3" s="137">
        <f t="shared" ref="Z3:Z8" si="8">BD3/SUM($AZ3:$BE3)</f>
      </c>
      <c r="AA3" s="137">
        <f t="shared" ref="AA3:AA8" si="10">BE3/SUM($AZ3:$BE3)</f>
      </c>
      <c r="AB3" s="137"/>
      <c r="AC3" s="137"/>
      <c r="AD3" s="137"/>
      <c r="AE3" s="137"/>
      <c r="AF3" s="137"/>
      <c r="AG3" s="137"/>
      <c r="AH3" s="137">
        <f t="shared" ref="AH3:AH15" si="36">BL3/SUM($BL3:$BQ3)</f>
      </c>
      <c r="AI3" s="137">
        <f t="shared" ref="AI3:AI15" si="37">BM3/SUM($BL3:$BQ3)</f>
      </c>
      <c r="AJ3" s="137">
        <f t="shared" ref="AJ3:AJ15" si="38">BN3/SUM($BL3:$BQ3)</f>
      </c>
      <c r="AK3" s="137">
        <f t="shared" ref="AK3:AK15" si="39">BO3/SUM($BL3:$BQ3)</f>
      </c>
      <c r="AL3" s="137">
        <f t="shared" ref="AL3:AL15" si="40">BP3/SUM($BL3:$BQ3)</f>
      </c>
      <c r="AM3" s="137">
        <f t="shared" ref="AM3:AM15" si="41">BQ3/SUM($BL3:$BQ3)</f>
      </c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8">
        <f>SUMIFS('25年实际销量'!M:M,'25年实际销量'!$A:$A,$C:$C)</f>
      </c>
      <c r="BA3" s="138">
        <f>SUMIFS('25年实际销量'!N:N,'25年实际销量'!$A:$A,$C:$C)</f>
      </c>
      <c r="BB3" s="138">
        <f>SUMIFS('25年实际销量'!O:O,'25年实际销量'!$A:$A,$C:$C)</f>
      </c>
      <c r="BC3" s="138">
        <f>SUMIFS('25年实际销量'!P:P,'25年实际销量'!$A:$A,$C:$C)</f>
      </c>
      <c r="BD3" s="138">
        <f>SUMIFS('25年实际销量'!Q:Q,'25年实际销量'!$A:$A,$C:$C)</f>
      </c>
      <c r="BE3" s="138">
        <f>SUMIFS('25年实际销量'!R:R,'25年实际销量'!$A:$A,$C:$C)</f>
      </c>
      <c r="BF3" s="138">
        <f>SUMIFS('25年实际销量'!S:S,'25年实际销量'!$A:$A,$C:$C)</f>
      </c>
      <c r="BG3" s="138">
        <f>SUMIFS('25年实际销量'!T:T,'25年实际销量'!$A:$A,$C:$C)</f>
      </c>
      <c r="BH3" s="138">
        <f>SUMIFS('25年实际销量'!U:U,'25年实际销量'!$A:$A,$C:$C)</f>
      </c>
      <c r="BI3" s="138">
        <f>SUMIFS('25年实际销量'!V:V,'25年实际销量'!$A:$A,$C:$C)</f>
      </c>
      <c r="BJ3" s="138">
        <f>SUMIFS('25年实际销量'!W:W,'25年实际销量'!$A:$A,$C:$C)</f>
      </c>
      <c r="BK3" s="138">
        <f>SUMIFS('25年实际销量'!X:X,'25年实际销量'!$A:$A,$C:$C)</f>
      </c>
      <c r="BL3" s="138">
        <f>SUMIFS('26年实际销量'!R:R,'26年实际销量'!$A:$A,$C:$C)</f>
      </c>
      <c r="BM3" s="138">
        <f>SUMIFS('26年实际销量'!S:S,'26年实际销量'!$A:$A,$C:$C)</f>
      </c>
      <c r="BN3" s="138">
        <f>SUMIFS('26年实际销量'!T:T,'26年实际销量'!$A:$A,$C:$C)</f>
      </c>
      <c r="BO3" s="138">
        <f>SUMIFS('26年实际销量'!U:U,'26年实际销量'!$A:$A,$C:$C)</f>
      </c>
      <c r="BP3" s="138">
        <f>SUMIFS('26年实际销量'!V:V,'26年实际销量'!$A:$A,$C:$C)</f>
      </c>
      <c r="BQ3" s="138">
        <f t="shared" ref="BQ3:BQ15" si="12">BS3*0.6+BR3*0.4</f>
      </c>
      <c r="BR3" s="138" cm="1">
        <f t="array" ref="BR3:BR200">_xlfn.XLOOKUP(C:C,'26年实际销量'!A:A,'26年实际销量'!X:X)</f>
      </c>
      <c r="BS3" s="138">
        <v>7492</v>
      </c>
      <c r="BT3" s="139">
        <f t="shared" ref="BT3:BT15" si="33">SUM(AZ3:BK3)</f>
      </c>
      <c r="BU3" s="140">
        <f t="shared" ref="BU3:BU15" si="20">IF(BT3=0,0,BT3/12)</f>
      </c>
      <c r="BV3" s="140">
        <f t="shared" ref="BV3:BV15" si="13">SUM(BL3:BQ3)</f>
      </c>
      <c r="BW3" s="140" cm="1">
        <f t="array" ref="BW3:BW200">_xlfn.XLOOKUP(C:C,'基础销量预测-计划端'!C:C,'基础销量预测-计划端'!AG:AG)</f>
      </c>
      <c r="BX3" s="140">
        <f t="shared" ref="BX3:BX15" si="34">IF(BV3=0,0,BV3/6)</f>
      </c>
      <c r="BY3" s="141">
        <f t="shared" ref="BY3:BY15" si="21">ROUND(BL3*($CE$1+1),0)</f>
      </c>
      <c r="BZ3" s="141">
        <f t="shared" ref="BZ3:BZ15" si="22">ROUND(BM3*($CE$1+1),0)</f>
      </c>
      <c r="CA3" s="141">
        <f t="shared" ref="CA3:CA15" si="23">ROUND(BN3*($CE$1+1),0)</f>
      </c>
      <c r="CB3" s="141">
        <f t="shared" ref="CB3:CB15" si="24">ROUND(BO3*($CE$1+1),0)</f>
      </c>
      <c r="CC3" s="141">
        <f t="shared" ref="CC3:CC15" si="25">ROUND(BP3*($CE$1+1),0)</f>
      </c>
      <c r="CD3" s="141">
        <f t="shared" ref="CD3:CD15" si="26">ROUND(BQ3*($CE$1+1),0)</f>
      </c>
      <c r="CE3" s="142"/>
      <c r="CF3" s="142"/>
      <c r="CG3" s="142"/>
      <c r="CH3" s="142"/>
      <c r="CI3" s="142"/>
      <c r="CJ3" s="142"/>
      <c r="CK3" s="142"/>
      <c r="CL3" s="143">
        <f t="shared" ref="CL3:CL15" si="14">(AH3*0.7+V3*0.3)</f>
      </c>
      <c r="CM3" s="143">
        <f t="shared" ref="CM3:CM15" si="15">(AI3*0.7+W3*0.3)</f>
      </c>
      <c r="CN3" s="143">
        <f t="shared" ref="CN3:CN15" si="16">(AJ3*0.7+X3*0.3)</f>
      </c>
      <c r="CO3" s="143">
        <f t="shared" ref="CO3:CO15" si="17">(AK3*0.7+Y3*0.3)</f>
      </c>
      <c r="CP3" s="143">
        <f t="shared" ref="CP3:CP15" si="18">(AL3*0.7+Z3*0.3)</f>
      </c>
      <c r="CQ3" s="143">
        <f t="shared" ref="CQ3:CQ15" si="19">(AM3*0.7+AA3*0.3)</f>
      </c>
    </row>
    <row customHeight="true" ht="12" r="4">
      <c r="A4" s="134" cm="1">
        <f t="array" ref="A4:A4">_xlfn.XLOOKUP(C4,'产品基础信息'!B:B,'产品基础信息'!C:C)</f>
      </c>
      <c r="B4" s="135">
        <f>'产品基础信息'!A3</f>
      </c>
      <c r="C4" s="135">
        <f>'产品基础信息'!B3</f>
      </c>
      <c r="D4" s="136">
        <v>0</v>
      </c>
      <c r="E4" s="137">
        <f t="shared" ref="E4:E15" si="42">(BA4-AZ4)/AZ4</f>
      </c>
      <c r="F4" s="137">
        <f t="shared" ref="F4:F15" si="43">(BB4-BA4)/BA4</f>
      </c>
      <c r="G4" s="137">
        <f t="shared" ref="G4:G15" si="44">(BC4-BB4)/BB4</f>
      </c>
      <c r="H4" s="137">
        <f t="shared" ref="H4:H15" si="45">(BD4-BC4)/BC4</f>
      </c>
      <c r="I4" s="137">
        <f t="shared" ref="I4:I15" si="46">(BE4-BD4)/BD4</f>
      </c>
      <c r="J4" s="137">
        <f t="shared" ref="J4:J15" si="47">(BF4-BE4)/BE4</f>
      </c>
      <c r="K4" s="137">
        <f t="shared" ref="K4:K15" si="48">(BG4-BF4)/BF4</f>
      </c>
      <c r="L4" s="137">
        <f t="shared" ref="L4:L15" si="49">(BH4-BG4)/BG4</f>
      </c>
      <c r="M4" s="137">
        <f t="shared" ref="M4:M15" si="50">(BI4-BH4)/BH4</f>
      </c>
      <c r="N4" s="137">
        <f t="shared" ref="N4:N15" si="51">(BJ4-BI4)/BI4</f>
      </c>
      <c r="O4" s="137">
        <f t="shared" ref="O4:O15" si="52">(BK4-BJ4)/BJ4</f>
      </c>
      <c r="P4" s="137">
        <f t="shared" ref="P4:P6" si="53">(BL4-BK4)/BK4</f>
      </c>
      <c r="Q4" s="137">
        <f t="shared" ref="Q4:Q6" si="55">(BM4-BL4)/BL4</f>
      </c>
      <c r="R4" s="137">
        <f t="shared" ref="R4:R6" si="57">(BN4-BM4)/BM4</f>
      </c>
      <c r="S4" s="137">
        <f t="shared" ref="S4:S6" si="59">(BO4-BN4)/BN4</f>
      </c>
      <c r="T4" s="137">
        <f t="shared" ref="T4:T6" si="61">(BP4-BO4)/BO4</f>
      </c>
      <c r="U4" s="137">
        <f t="shared" ref="U4:U6" si="63">(BQ4-BP4)/BP4</f>
      </c>
      <c r="V4" s="137">
        <f t="shared" si="0"/>
      </c>
      <c r="W4" s="137">
        <f t="shared" si="2"/>
      </c>
      <c r="X4" s="137">
        <f t="shared" si="4"/>
      </c>
      <c r="Y4" s="137">
        <f t="shared" si="6"/>
      </c>
      <c r="Z4" s="137">
        <f t="shared" si="8"/>
      </c>
      <c r="AA4" s="137">
        <f t="shared" si="10"/>
      </c>
      <c r="AB4" s="137"/>
      <c r="AC4" s="137"/>
      <c r="AD4" s="137"/>
      <c r="AE4" s="137"/>
      <c r="AF4" s="137"/>
      <c r="AG4" s="137"/>
      <c r="AH4" s="137">
        <f t="shared" si="36"/>
      </c>
      <c r="AI4" s="137">
        <f t="shared" si="37"/>
      </c>
      <c r="AJ4" s="137">
        <f t="shared" si="38"/>
      </c>
      <c r="AK4" s="137">
        <f t="shared" si="39"/>
      </c>
      <c r="AL4" s="137">
        <f t="shared" si="40"/>
      </c>
      <c r="AM4" s="137">
        <f t="shared" si="41"/>
      </c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8">
        <f>SUMIFS('25年实际销量'!M:M,'25年实际销量'!$A:$A,$C:$C)</f>
      </c>
      <c r="BA4" s="138">
        <f>SUMIFS('25年实际销量'!N:N,'25年实际销量'!$A:$A,$C:$C)</f>
      </c>
      <c r="BB4" s="138">
        <f>SUMIFS('25年实际销量'!O:O,'25年实际销量'!$A:$A,$C:$C)</f>
      </c>
      <c r="BC4" s="138">
        <f>SUMIFS('25年实际销量'!P:P,'25年实际销量'!$A:$A,$C:$C)</f>
      </c>
      <c r="BD4" s="138">
        <f>SUMIFS('25年实际销量'!Q:Q,'25年实际销量'!$A:$A,$C:$C)</f>
      </c>
      <c r="BE4" s="138">
        <f>SUMIFS('25年实际销量'!R:R,'25年实际销量'!$A:$A,$C:$C)</f>
      </c>
      <c r="BF4" s="138">
        <f>SUMIFS('25年实际销量'!S:S,'25年实际销量'!$A:$A,$C:$C)</f>
      </c>
      <c r="BG4" s="138">
        <f>SUMIFS('25年实际销量'!T:T,'25年实际销量'!$A:$A,$C:$C)</f>
      </c>
      <c r="BH4" s="138">
        <f>SUMIFS('25年实际销量'!U:U,'25年实际销量'!$A:$A,$C:$C)</f>
      </c>
      <c r="BI4" s="138">
        <f>SUMIFS('25年实际销量'!V:V,'25年实际销量'!$A:$A,$C:$C)</f>
      </c>
      <c r="BJ4" s="138">
        <f>SUMIFS('25年实际销量'!W:W,'25年实际销量'!$A:$A,$C:$C)</f>
      </c>
      <c r="BK4" s="138">
        <f>SUMIFS('25年实际销量'!X:X,'25年实际销量'!$A:$A,$C:$C)</f>
      </c>
      <c r="BL4" s="138">
        <f>SUMIFS('26年实际销量'!R:R,'26年实际销量'!$A:$A,$C:$C)</f>
      </c>
      <c r="BM4" s="138">
        <f>SUMIFS('26年实际销量'!S:S,'26年实际销量'!$A:$A,$C:$C)</f>
      </c>
      <c r="BN4" s="138">
        <f>SUMIFS('26年实际销量'!T:T,'26年实际销量'!$A:$A,$C:$C)</f>
      </c>
      <c r="BO4" s="138">
        <f>SUMIFS('26年实际销量'!U:U,'26年实际销量'!$A:$A,$C:$C)</f>
      </c>
      <c r="BP4" s="138">
        <f>SUMIFS('26年实际销量'!V:V,'26年实际销量'!$A:$A,$C:$C)</f>
      </c>
      <c r="BQ4" s="138">
        <f t="shared" si="12"/>
      </c>
      <c r="BR4" s="138" cm="1">
        <f t="array" ref="BR4:BR200">_xlfn.XLOOKUP(C:C,'26年实际销量'!A:A,'26年实际销量'!X:X)</f>
      </c>
      <c r="BS4" s="138">
        <v>9323</v>
      </c>
      <c r="BT4" s="139">
        <f t="shared" si="33"/>
      </c>
      <c r="BU4" s="140">
        <f t="shared" si="20"/>
      </c>
      <c r="BV4" s="140">
        <f t="shared" si="13"/>
      </c>
      <c r="BW4" s="140" cm="1">
        <f t="array" ref="BW4:BW200">_xlfn.XLOOKUP(C:C,'基础销量预测-计划端'!C:C,'基础销量预测-计划端'!AG:AG)</f>
      </c>
      <c r="BX4" s="140">
        <f t="shared" si="34"/>
      </c>
      <c r="BY4" s="141">
        <f t="shared" si="21"/>
      </c>
      <c r="BZ4" s="141">
        <f t="shared" si="22"/>
      </c>
      <c r="CA4" s="141">
        <f t="shared" si="23"/>
      </c>
      <c r="CB4" s="141">
        <f t="shared" si="24"/>
      </c>
      <c r="CC4" s="141">
        <f t="shared" si="25"/>
      </c>
      <c r="CD4" s="141">
        <f t="shared" si="26"/>
      </c>
      <c r="CE4" s="142"/>
      <c r="CF4" s="142"/>
      <c r="CG4" s="142"/>
      <c r="CH4" s="142"/>
      <c r="CI4" s="142"/>
      <c r="CJ4" s="142"/>
      <c r="CK4" s="142"/>
      <c r="CL4" s="143">
        <f t="shared" si="14"/>
      </c>
      <c r="CM4" s="143">
        <f t="shared" si="15"/>
      </c>
      <c r="CN4" s="143">
        <f t="shared" si="16"/>
      </c>
      <c r="CO4" s="143">
        <f t="shared" si="17"/>
      </c>
      <c r="CP4" s="143">
        <f t="shared" si="18"/>
      </c>
      <c r="CQ4" s="143">
        <f t="shared" si="19"/>
      </c>
    </row>
    <row customHeight="true" ht="12" r="5">
      <c r="A5" s="134" cm="1">
        <f t="array" ref="A5:A5">_xlfn.XLOOKUP(C5,'产品基础信息'!B:B,'产品基础信息'!C:C)</f>
      </c>
      <c r="B5" s="135">
        <f>'产品基础信息'!A4</f>
      </c>
      <c r="C5" s="135">
        <f>'产品基础信息'!B4</f>
      </c>
      <c r="D5" s="136">
        <v>0</v>
      </c>
      <c r="E5" s="137">
        <f t="shared" si="42"/>
      </c>
      <c r="F5" s="137">
        <f t="shared" si="43"/>
      </c>
      <c r="G5" s="137">
        <f t="shared" si="44"/>
      </c>
      <c r="H5" s="137">
        <f t="shared" si="45"/>
      </c>
      <c r="I5" s="137">
        <f t="shared" si="46"/>
      </c>
      <c r="J5" s="137">
        <f t="shared" si="47"/>
      </c>
      <c r="K5" s="137">
        <f t="shared" si="48"/>
      </c>
      <c r="L5" s="137">
        <f t="shared" si="49"/>
      </c>
      <c r="M5" s="137">
        <f t="shared" si="50"/>
      </c>
      <c r="N5" s="137">
        <f t="shared" si="51"/>
      </c>
      <c r="O5" s="137">
        <f t="shared" si="52"/>
      </c>
      <c r="P5" s="137">
        <f t="shared" si="53"/>
      </c>
      <c r="Q5" s="137">
        <f t="shared" si="55"/>
      </c>
      <c r="R5" s="137">
        <f t="shared" si="57"/>
      </c>
      <c r="S5" s="137">
        <f t="shared" si="59"/>
      </c>
      <c r="T5" s="137">
        <f t="shared" si="61"/>
      </c>
      <c r="U5" s="137">
        <f t="shared" si="63"/>
      </c>
      <c r="V5" s="137">
        <f t="shared" si="0"/>
      </c>
      <c r="W5" s="137">
        <f t="shared" si="2"/>
      </c>
      <c r="X5" s="137">
        <f t="shared" si="4"/>
      </c>
      <c r="Y5" s="137">
        <f t="shared" si="6"/>
      </c>
      <c r="Z5" s="137">
        <f t="shared" si="8"/>
      </c>
      <c r="AA5" s="137">
        <f t="shared" si="10"/>
      </c>
      <c r="AB5" s="137"/>
      <c r="AC5" s="137"/>
      <c r="AD5" s="137"/>
      <c r="AE5" s="137"/>
      <c r="AF5" s="137"/>
      <c r="AG5" s="137"/>
      <c r="AH5" s="137">
        <f t="shared" si="36"/>
      </c>
      <c r="AI5" s="137">
        <f t="shared" si="37"/>
      </c>
      <c r="AJ5" s="137">
        <f t="shared" si="38"/>
      </c>
      <c r="AK5" s="137">
        <f t="shared" si="39"/>
      </c>
      <c r="AL5" s="137">
        <f t="shared" si="40"/>
      </c>
      <c r="AM5" s="137">
        <f t="shared" si="41"/>
      </c>
      <c r="AN5" s="137"/>
      <c r="AO5" s="137"/>
      <c r="AP5" s="137"/>
      <c r="AQ5" s="137"/>
      <c r="AR5" s="137"/>
      <c r="AS5" s="137"/>
      <c r="AT5" s="137"/>
      <c r="AU5" s="137"/>
      <c r="AV5" s="137"/>
      <c r="AW5" s="137"/>
      <c r="AX5" s="137"/>
      <c r="AY5" s="137"/>
      <c r="AZ5" s="138">
        <f>SUMIFS('25年实际销量'!M:M,'25年实际销量'!$A:$A,$C:$C)</f>
      </c>
      <c r="BA5" s="138">
        <f>SUMIFS('25年实际销量'!N:N,'25年实际销量'!$A:$A,$C:$C)</f>
      </c>
      <c r="BB5" s="138">
        <f>SUMIFS('25年实际销量'!O:O,'25年实际销量'!$A:$A,$C:$C)</f>
      </c>
      <c r="BC5" s="138">
        <f>SUMIFS('25年实际销量'!P:P,'25年实际销量'!$A:$A,$C:$C)</f>
      </c>
      <c r="BD5" s="138">
        <f>SUMIFS('25年实际销量'!Q:Q,'25年实际销量'!$A:$A,$C:$C)</f>
      </c>
      <c r="BE5" s="138">
        <f>SUMIFS('25年实际销量'!R:R,'25年实际销量'!$A:$A,$C:$C)</f>
      </c>
      <c r="BF5" s="138">
        <f>SUMIFS('25年实际销量'!S:S,'25年实际销量'!$A:$A,$C:$C)</f>
      </c>
      <c r="BG5" s="138">
        <f>SUMIFS('25年实际销量'!T:T,'25年实际销量'!$A:$A,$C:$C)</f>
      </c>
      <c r="BH5" s="138">
        <f>SUMIFS('25年实际销量'!U:U,'25年实际销量'!$A:$A,$C:$C)</f>
      </c>
      <c r="BI5" s="138">
        <f>SUMIFS('25年实际销量'!V:V,'25年实际销量'!$A:$A,$C:$C)</f>
      </c>
      <c r="BJ5" s="138">
        <f>SUMIFS('25年实际销量'!W:W,'25年实际销量'!$A:$A,$C:$C)</f>
      </c>
      <c r="BK5" s="138">
        <f>SUMIFS('25年实际销量'!X:X,'25年实际销量'!$A:$A,$C:$C)</f>
      </c>
      <c r="BL5" s="138">
        <f>SUMIFS('26年实际销量'!R:R,'26年实际销量'!$A:$A,$C:$C)</f>
      </c>
      <c r="BM5" s="138">
        <f>SUMIFS('26年实际销量'!S:S,'26年实际销量'!$A:$A,$C:$C)</f>
      </c>
      <c r="BN5" s="138">
        <f>SUMIFS('26年实际销量'!T:T,'26年实际销量'!$A:$A,$C:$C)</f>
      </c>
      <c r="BO5" s="138">
        <f>SUMIFS('26年实际销量'!U:U,'26年实际销量'!$A:$A,$C:$C)</f>
      </c>
      <c r="BP5" s="138">
        <f>SUMIFS('26年实际销量'!V:V,'26年实际销量'!$A:$A,$C:$C)</f>
      </c>
      <c r="BQ5" s="138">
        <f t="shared" si="12"/>
      </c>
      <c r="BR5" s="138" cm="1">
        <f t="array" ref="BR5:BR200">_xlfn.XLOOKUP(C:C,'26年实际销量'!A:A,'26年实际销量'!X:X)</f>
      </c>
      <c r="BS5" s="138">
        <v>19707</v>
      </c>
      <c r="BT5" s="139">
        <f t="shared" si="33"/>
      </c>
      <c r="BU5" s="140">
        <f t="shared" si="20"/>
      </c>
      <c r="BV5" s="140">
        <f t="shared" si="13"/>
      </c>
      <c r="BW5" s="140" cm="1">
        <f t="array" ref="BW5:BW200">_xlfn.XLOOKUP(C:C,'基础销量预测-计划端'!C:C,'基础销量预测-计划端'!AG:AG)</f>
      </c>
      <c r="BX5" s="140">
        <f t="shared" si="34"/>
      </c>
      <c r="BY5" s="141">
        <f t="shared" si="21"/>
      </c>
      <c r="BZ5" s="141">
        <f t="shared" si="22"/>
      </c>
      <c r="CA5" s="141">
        <f t="shared" si="23"/>
      </c>
      <c r="CB5" s="141">
        <f t="shared" si="24"/>
      </c>
      <c r="CC5" s="141">
        <f t="shared" si="25"/>
      </c>
      <c r="CD5" s="141">
        <f t="shared" si="26"/>
      </c>
      <c r="CE5" s="142"/>
      <c r="CF5" s="142"/>
      <c r="CG5" s="142"/>
      <c r="CH5" s="142"/>
      <c r="CI5" s="142"/>
      <c r="CJ5" s="142"/>
      <c r="CK5" s="142"/>
      <c r="CL5" s="143">
        <f t="shared" si="14"/>
      </c>
      <c r="CM5" s="143">
        <f t="shared" si="15"/>
      </c>
      <c r="CN5" s="143">
        <f t="shared" si="16"/>
      </c>
      <c r="CO5" s="143">
        <f t="shared" si="17"/>
      </c>
      <c r="CP5" s="143">
        <f t="shared" si="18"/>
      </c>
      <c r="CQ5" s="143">
        <f t="shared" si="19"/>
      </c>
    </row>
    <row customHeight="true" ht="12" r="6">
      <c r="A6" s="134" cm="1">
        <f t="array" ref="A6:A6">_xlfn.XLOOKUP(C6,'产品基础信息'!B:B,'产品基础信息'!C:C)</f>
      </c>
      <c r="B6" s="135">
        <f>'产品基础信息'!A5</f>
      </c>
      <c r="C6" s="135">
        <f>'产品基础信息'!B5</f>
      </c>
      <c r="D6" s="136">
        <v>0</v>
      </c>
      <c r="E6" s="137">
        <f t="shared" si="42"/>
      </c>
      <c r="F6" s="137">
        <f t="shared" si="43"/>
      </c>
      <c r="G6" s="137">
        <f t="shared" si="44"/>
      </c>
      <c r="H6" s="137">
        <f t="shared" si="45"/>
      </c>
      <c r="I6" s="137">
        <f t="shared" si="46"/>
      </c>
      <c r="J6" s="137">
        <f t="shared" si="47"/>
      </c>
      <c r="K6" s="137">
        <f t="shared" si="48"/>
      </c>
      <c r="L6" s="137">
        <f t="shared" si="49"/>
      </c>
      <c r="M6" s="137">
        <f t="shared" si="50"/>
      </c>
      <c r="N6" s="137">
        <f t="shared" si="51"/>
      </c>
      <c r="O6" s="137">
        <f t="shared" si="52"/>
      </c>
      <c r="P6" s="137">
        <f t="shared" si="53"/>
      </c>
      <c r="Q6" s="137">
        <f t="shared" si="55"/>
      </c>
      <c r="R6" s="137">
        <f t="shared" si="57"/>
      </c>
      <c r="S6" s="137">
        <f t="shared" si="59"/>
      </c>
      <c r="T6" s="137">
        <f t="shared" si="61"/>
      </c>
      <c r="U6" s="137">
        <f t="shared" si="63"/>
      </c>
      <c r="V6" s="137">
        <f t="shared" si="0"/>
      </c>
      <c r="W6" s="137">
        <f t="shared" si="2"/>
      </c>
      <c r="X6" s="137">
        <f t="shared" si="4"/>
      </c>
      <c r="Y6" s="137">
        <f t="shared" si="6"/>
      </c>
      <c r="Z6" s="137">
        <f t="shared" si="8"/>
      </c>
      <c r="AA6" s="137">
        <f t="shared" si="10"/>
      </c>
      <c r="AB6" s="137"/>
      <c r="AC6" s="137"/>
      <c r="AD6" s="137"/>
      <c r="AE6" s="137"/>
      <c r="AF6" s="137"/>
      <c r="AG6" s="137"/>
      <c r="AH6" s="137">
        <f t="shared" si="36"/>
      </c>
      <c r="AI6" s="137">
        <f t="shared" si="37"/>
      </c>
      <c r="AJ6" s="137">
        <f t="shared" si="38"/>
      </c>
      <c r="AK6" s="137">
        <f t="shared" si="39"/>
      </c>
      <c r="AL6" s="137">
        <f t="shared" si="40"/>
      </c>
      <c r="AM6" s="137">
        <f t="shared" si="41"/>
      </c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8">
        <f>SUMIFS('25年实际销量'!M:M,'25年实际销量'!$A:$A,$C:$C)</f>
      </c>
      <c r="BA6" s="138">
        <f>SUMIFS('25年实际销量'!N:N,'25年实际销量'!$A:$A,$C:$C)</f>
      </c>
      <c r="BB6" s="138">
        <f>SUMIFS('25年实际销量'!O:O,'25年实际销量'!$A:$A,$C:$C)</f>
      </c>
      <c r="BC6" s="138">
        <f>SUMIFS('25年实际销量'!P:P,'25年实际销量'!$A:$A,$C:$C)</f>
      </c>
      <c r="BD6" s="138">
        <f>SUMIFS('25年实际销量'!Q:Q,'25年实际销量'!$A:$A,$C:$C)</f>
      </c>
      <c r="BE6" s="138">
        <f>SUMIFS('25年实际销量'!R:R,'25年实际销量'!$A:$A,$C:$C)</f>
      </c>
      <c r="BF6" s="138">
        <f>SUMIFS('25年实际销量'!S:S,'25年实际销量'!$A:$A,$C:$C)</f>
      </c>
      <c r="BG6" s="138">
        <f>SUMIFS('25年实际销量'!T:T,'25年实际销量'!$A:$A,$C:$C)</f>
      </c>
      <c r="BH6" s="138">
        <f>SUMIFS('25年实际销量'!U:U,'25年实际销量'!$A:$A,$C:$C)</f>
      </c>
      <c r="BI6" s="138">
        <f>SUMIFS('25年实际销量'!V:V,'25年实际销量'!$A:$A,$C:$C)</f>
      </c>
      <c r="BJ6" s="138">
        <f>SUMIFS('25年实际销量'!W:W,'25年实际销量'!$A:$A,$C:$C)</f>
      </c>
      <c r="BK6" s="138">
        <f>SUMIFS('25年实际销量'!X:X,'25年实际销量'!$A:$A,$C:$C)</f>
      </c>
      <c r="BL6" s="138">
        <f>SUMIFS('26年实际销量'!R:R,'26年实际销量'!$A:$A,$C:$C)</f>
      </c>
      <c r="BM6" s="138">
        <f>SUMIFS('26年实际销量'!S:S,'26年实际销量'!$A:$A,$C:$C)</f>
      </c>
      <c r="BN6" s="138">
        <f>SUMIFS('26年实际销量'!T:T,'26年实际销量'!$A:$A,$C:$C)</f>
      </c>
      <c r="BO6" s="138">
        <f>SUMIFS('26年实际销量'!U:U,'26年实际销量'!$A:$A,$C:$C)</f>
      </c>
      <c r="BP6" s="138">
        <f>SUMIFS('26年实际销量'!V:V,'26年实际销量'!$A:$A,$C:$C)</f>
      </c>
      <c r="BQ6" s="138">
        <f t="shared" si="12"/>
      </c>
      <c r="BR6" s="138" cm="1">
        <f t="array" ref="BR6:BR200">_xlfn.XLOOKUP(C:C,'26年实际销量'!A:A,'26年实际销量'!X:X)</f>
      </c>
      <c r="BS6" s="138">
        <v>21889</v>
      </c>
      <c r="BT6" s="139">
        <f t="shared" si="33"/>
      </c>
      <c r="BU6" s="140">
        <f t="shared" si="20"/>
      </c>
      <c r="BV6" s="140">
        <f t="shared" si="13"/>
      </c>
      <c r="BW6" s="140" cm="1">
        <f t="array" ref="BW6:BW200">_xlfn.XLOOKUP(C:C,'基础销量预测-计划端'!C:C,'基础销量预测-计划端'!AG:AG)</f>
      </c>
      <c r="BX6" s="140">
        <f t="shared" si="34"/>
      </c>
      <c r="BY6" s="141">
        <f t="shared" si="21"/>
      </c>
      <c r="BZ6" s="141">
        <f t="shared" si="22"/>
      </c>
      <c r="CA6" s="141">
        <f t="shared" si="23"/>
      </c>
      <c r="CB6" s="141">
        <f t="shared" si="24"/>
      </c>
      <c r="CC6" s="141">
        <f t="shared" si="25"/>
      </c>
      <c r="CD6" s="141">
        <f t="shared" si="26"/>
      </c>
      <c r="CE6" s="142"/>
      <c r="CF6" s="142"/>
      <c r="CG6" s="142"/>
      <c r="CH6" s="142"/>
      <c r="CI6" s="142"/>
      <c r="CJ6" s="142"/>
      <c r="CK6" s="142"/>
      <c r="CL6" s="143">
        <f t="shared" si="14"/>
      </c>
      <c r="CM6" s="143">
        <f t="shared" si="15"/>
      </c>
      <c r="CN6" s="143">
        <f t="shared" si="16"/>
      </c>
      <c r="CO6" s="143">
        <f t="shared" si="17"/>
      </c>
      <c r="CP6" s="143">
        <f t="shared" si="18"/>
      </c>
      <c r="CQ6" s="143">
        <f t="shared" si="19"/>
      </c>
    </row>
    <row customHeight="true" ht="12" r="7">
      <c r="A7" s="134" cm="1">
        <f t="array" ref="A7:A7">_xlfn.XLOOKUP(C7,'产品基础信息'!B:B,'产品基础信息'!C:C)</f>
      </c>
      <c r="B7" s="144">
        <f>'产品基础信息'!A6</f>
      </c>
      <c r="C7" s="144">
        <f>'产品基础信息'!B6</f>
      </c>
      <c r="D7" s="137">
        <f t="shared" ref="D7:D8" si="35">AZ7/SUM($AZ7:$BK7)</f>
      </c>
      <c r="E7" s="137">
        <f t="shared" si="42"/>
      </c>
      <c r="F7" s="137">
        <f t="shared" si="43"/>
      </c>
      <c r="G7" s="137">
        <f t="shared" si="44"/>
      </c>
      <c r="H7" s="137">
        <f t="shared" si="45"/>
      </c>
      <c r="I7" s="137">
        <f t="shared" si="46"/>
      </c>
      <c r="J7" s="137">
        <f t="shared" si="47"/>
      </c>
      <c r="K7" s="137">
        <f t="shared" si="48"/>
      </c>
      <c r="L7" s="137">
        <f t="shared" si="49"/>
      </c>
      <c r="M7" s="137">
        <f t="shared" si="50"/>
      </c>
      <c r="N7" s="137">
        <f t="shared" si="51"/>
      </c>
      <c r="O7" s="137">
        <f t="shared" si="52"/>
      </c>
      <c r="P7" s="137">
        <f t="shared" ref="P7:P8" si="27">BL7/SUM($BL7:$BQ7)</f>
      </c>
      <c r="Q7" s="137">
        <f t="shared" ref="Q7:Q8" si="28">BM7/SUM($BL7:$BQ7)</f>
      </c>
      <c r="R7" s="137">
        <f t="shared" ref="R7:R8" si="29">BN7/SUM($BL7:$BQ7)</f>
      </c>
      <c r="S7" s="137">
        <f t="shared" ref="S7:S8" si="30">BO7/SUM($BL7:$BQ7)</f>
      </c>
      <c r="T7" s="137">
        <f t="shared" ref="T7:T8" si="31">BP7/SUM($BL7:$BQ7)</f>
      </c>
      <c r="U7" s="137">
        <f t="shared" ref="U7:U8" si="32">BQ7/SUM($BL7:$BQ7)</f>
      </c>
      <c r="V7" s="137">
        <f t="shared" si="0"/>
      </c>
      <c r="W7" s="137">
        <f t="shared" si="2"/>
      </c>
      <c r="X7" s="137">
        <f t="shared" si="4"/>
      </c>
      <c r="Y7" s="137">
        <f t="shared" si="6"/>
      </c>
      <c r="Z7" s="137">
        <f t="shared" si="8"/>
      </c>
      <c r="AA7" s="137">
        <f t="shared" si="10"/>
      </c>
      <c r="AB7" s="137"/>
      <c r="AC7" s="137"/>
      <c r="AD7" s="137"/>
      <c r="AE7" s="137"/>
      <c r="AF7" s="137"/>
      <c r="AG7" s="137"/>
      <c r="AH7" s="137">
        <f t="shared" si="36"/>
      </c>
      <c r="AI7" s="137">
        <f t="shared" si="37"/>
      </c>
      <c r="AJ7" s="137">
        <f t="shared" si="38"/>
      </c>
      <c r="AK7" s="137">
        <f t="shared" si="39"/>
      </c>
      <c r="AL7" s="137">
        <f t="shared" si="40"/>
      </c>
      <c r="AM7" s="137">
        <f t="shared" si="41"/>
      </c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45">
        <f>SUMIFS('25年实际销量'!M:M,'25年实际销量'!$A:$A,$C:$C)</f>
      </c>
      <c r="BA7" s="145">
        <f>SUMIFS('25年实际销量'!N:N,'25年实际销量'!$A:$A,$C:$C)</f>
      </c>
      <c r="BB7" s="145">
        <f>SUMIFS('25年实际销量'!O:O,'25年实际销量'!$A:$A,$C:$C)</f>
      </c>
      <c r="BC7" s="145">
        <f>SUMIFS('25年实际销量'!P:P,'25年实际销量'!$A:$A,$C:$C)</f>
      </c>
      <c r="BD7" s="145">
        <f>SUMIFS('25年实际销量'!Q:Q,'25年实际销量'!$A:$A,$C:$C)</f>
      </c>
      <c r="BE7" s="145">
        <f>SUMIFS('25年实际销量'!R:R,'25年实际销量'!$A:$A,$C:$C)</f>
      </c>
      <c r="BF7" s="145">
        <f>SUMIFS('25年实际销量'!S:S,'25年实际销量'!$A:$A,$C:$C)</f>
      </c>
      <c r="BG7" s="145">
        <f>SUMIFS('25年实际销量'!T:T,'25年实际销量'!$A:$A,$C:$C)</f>
      </c>
      <c r="BH7" s="145">
        <f>SUMIFS('25年实际销量'!U:U,'25年实际销量'!$A:$A,$C:$C)</f>
      </c>
      <c r="BI7" s="145">
        <f>SUMIFS('25年实际销量'!V:V,'25年实际销量'!$A:$A,$C:$C)</f>
      </c>
      <c r="BJ7" s="145">
        <f>SUMIFS('25年实际销量'!W:W,'25年实际销量'!$A:$A,$C:$C)</f>
      </c>
      <c r="BK7" s="145">
        <f>SUMIFS('25年实际销量'!X:X,'25年实际销量'!$A:$A,$C:$C)</f>
      </c>
      <c r="BL7" s="145">
        <f>SUMIFS('26年实际销量'!R:R,'26年实际销量'!$A:$A,$C:$C)</f>
      </c>
      <c r="BM7" s="145">
        <f>SUMIFS('26年实际销量'!S:S,'26年实际销量'!$A:$A,$C:$C)</f>
      </c>
      <c r="BN7" s="145">
        <f>SUMIFS('26年实际销量'!T:T,'26年实际销量'!$A:$A,$C:$C)</f>
      </c>
      <c r="BO7" s="145">
        <f>SUMIFS('26年实际销量'!U:U,'26年实际销量'!$A:$A,$C:$C)</f>
      </c>
      <c r="BP7" s="145">
        <f>SUMIFS('26年实际销量'!V:V,'26年实际销量'!$A:$A,$C:$C)</f>
      </c>
      <c r="BQ7" s="138">
        <f t="shared" si="12"/>
      </c>
      <c r="BR7" s="138" cm="1">
        <f t="array" ref="BR7:BR200">_xlfn.XLOOKUP(C:C,'26年实际销量'!A:A,'26年实际销量'!X:X)</f>
      </c>
      <c r="BS7" s="138">
        <v>1390</v>
      </c>
      <c r="BT7" s="145">
        <f t="shared" si="33"/>
      </c>
      <c r="BU7" s="146">
        <f t="shared" si="20"/>
      </c>
      <c r="BV7" s="146">
        <f t="shared" si="13"/>
      </c>
      <c r="BW7" s="140" cm="1">
        <f t="array" ref="BW7:BW200">_xlfn.XLOOKUP(C:C,'基础销量预测-计划端'!C:C,'基础销量预测-计划端'!AG:AG)</f>
      </c>
      <c r="BX7" s="146">
        <f t="shared" si="34"/>
      </c>
      <c r="BY7" s="141">
        <f t="shared" si="21"/>
      </c>
      <c r="BZ7" s="141">
        <f t="shared" si="22"/>
      </c>
      <c r="CA7" s="141">
        <f t="shared" si="23"/>
      </c>
      <c r="CB7" s="141">
        <f t="shared" si="24"/>
      </c>
      <c r="CC7" s="141">
        <f t="shared" si="25"/>
      </c>
      <c r="CD7" s="141">
        <f t="shared" si="26"/>
      </c>
      <c r="CE7" s="147"/>
      <c r="CF7" s="147"/>
      <c r="CG7" s="147"/>
      <c r="CH7" s="147"/>
      <c r="CI7" s="147"/>
      <c r="CJ7" s="147"/>
      <c r="CK7" s="147"/>
      <c r="CL7" s="143">
        <f t="shared" si="14"/>
      </c>
      <c r="CM7" s="143">
        <f t="shared" si="15"/>
      </c>
      <c r="CN7" s="143">
        <f t="shared" si="16"/>
      </c>
      <c r="CO7" s="143">
        <f t="shared" si="17"/>
      </c>
      <c r="CP7" s="143">
        <f t="shared" si="18"/>
      </c>
      <c r="CQ7" s="143">
        <f t="shared" si="19"/>
      </c>
    </row>
    <row customHeight="true" ht="12" r="8">
      <c r="A8" s="134" cm="1">
        <f t="array" ref="A8:A8">_xlfn.XLOOKUP(C8,'产品基础信息'!B:B,'产品基础信息'!C:C)</f>
      </c>
      <c r="B8" s="144">
        <f>'产品基础信息'!A7</f>
      </c>
      <c r="C8" s="144">
        <f>'产品基础信息'!B7</f>
      </c>
      <c r="D8" s="137">
        <f t="shared" si="35"/>
      </c>
      <c r="E8" s="137">
        <f t="shared" si="42"/>
      </c>
      <c r="F8" s="137">
        <f t="shared" si="43"/>
      </c>
      <c r="G8" s="137">
        <f t="shared" si="44"/>
      </c>
      <c r="H8" s="137">
        <f t="shared" si="45"/>
      </c>
      <c r="I8" s="137">
        <f t="shared" si="46"/>
      </c>
      <c r="J8" s="137">
        <f t="shared" si="47"/>
      </c>
      <c r="K8" s="137">
        <f t="shared" si="48"/>
      </c>
      <c r="L8" s="137">
        <f t="shared" si="49"/>
      </c>
      <c r="M8" s="137">
        <f t="shared" si="50"/>
      </c>
      <c r="N8" s="137">
        <f t="shared" si="51"/>
      </c>
      <c r="O8" s="137">
        <f t="shared" si="52"/>
      </c>
      <c r="P8" s="137">
        <f t="shared" si="27"/>
      </c>
      <c r="Q8" s="137">
        <f t="shared" si="28"/>
      </c>
      <c r="R8" s="137">
        <f t="shared" si="29"/>
      </c>
      <c r="S8" s="137">
        <f t="shared" si="30"/>
      </c>
      <c r="T8" s="137">
        <f t="shared" si="31"/>
      </c>
      <c r="U8" s="137">
        <f t="shared" si="32"/>
      </c>
      <c r="V8" s="137">
        <f t="shared" si="0"/>
      </c>
      <c r="W8" s="137">
        <f t="shared" si="2"/>
      </c>
      <c r="X8" s="137">
        <f t="shared" si="4"/>
      </c>
      <c r="Y8" s="137">
        <f t="shared" si="6"/>
      </c>
      <c r="Z8" s="137">
        <f t="shared" si="8"/>
      </c>
      <c r="AA8" s="137">
        <f t="shared" si="10"/>
      </c>
      <c r="AB8" s="137"/>
      <c r="AC8" s="137"/>
      <c r="AD8" s="137"/>
      <c r="AE8" s="137"/>
      <c r="AF8" s="137"/>
      <c r="AG8" s="137"/>
      <c r="AH8" s="137">
        <f t="shared" si="36"/>
      </c>
      <c r="AI8" s="137">
        <f t="shared" si="37"/>
      </c>
      <c r="AJ8" s="137">
        <f t="shared" si="38"/>
      </c>
      <c r="AK8" s="137">
        <f t="shared" si="39"/>
      </c>
      <c r="AL8" s="137">
        <f t="shared" si="40"/>
      </c>
      <c r="AM8" s="137">
        <f t="shared" si="41"/>
      </c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45">
        <f>SUMIFS('25年实际销量'!M:M,'25年实际销量'!$A:$A,$C:$C)</f>
      </c>
      <c r="BA8" s="145">
        <f>SUMIFS('25年实际销量'!N:N,'25年实际销量'!$A:$A,$C:$C)</f>
      </c>
      <c r="BB8" s="145">
        <f>SUMIFS('25年实际销量'!O:O,'25年实际销量'!$A:$A,$C:$C)</f>
      </c>
      <c r="BC8" s="145">
        <f>SUMIFS('25年实际销量'!P:P,'25年实际销量'!$A:$A,$C:$C)</f>
      </c>
      <c r="BD8" s="145">
        <f>SUMIFS('25年实际销量'!Q:Q,'25年实际销量'!$A:$A,$C:$C)</f>
      </c>
      <c r="BE8" s="145">
        <f>SUMIFS('25年实际销量'!R:R,'25年实际销量'!$A:$A,$C:$C)</f>
      </c>
      <c r="BF8" s="145">
        <f>SUMIFS('25年实际销量'!S:S,'25年实际销量'!$A:$A,$C:$C)</f>
      </c>
      <c r="BG8" s="145">
        <f>SUMIFS('25年实际销量'!T:T,'25年实际销量'!$A:$A,$C:$C)</f>
      </c>
      <c r="BH8" s="145">
        <f>SUMIFS('25年实际销量'!U:U,'25年实际销量'!$A:$A,$C:$C)</f>
      </c>
      <c r="BI8" s="145">
        <f>SUMIFS('25年实际销量'!V:V,'25年实际销量'!$A:$A,$C:$C)</f>
      </c>
      <c r="BJ8" s="145">
        <f>SUMIFS('25年实际销量'!W:W,'25年实际销量'!$A:$A,$C:$C)</f>
      </c>
      <c r="BK8" s="145">
        <f>SUMIFS('25年实际销量'!X:X,'25年实际销量'!$A:$A,$C:$C)</f>
      </c>
      <c r="BL8" s="145">
        <f>SUMIFS('26年实际销量'!R:R,'26年实际销量'!$A:$A,$C:$C)</f>
      </c>
      <c r="BM8" s="145">
        <f>SUMIFS('26年实际销量'!S:S,'26年实际销量'!$A:$A,$C:$C)</f>
      </c>
      <c r="BN8" s="145">
        <f>SUMIFS('26年实际销量'!T:T,'26年实际销量'!$A:$A,$C:$C)</f>
      </c>
      <c r="BO8" s="145">
        <f>SUMIFS('26年实际销量'!U:U,'26年实际销量'!$A:$A,$C:$C)</f>
      </c>
      <c r="BP8" s="145">
        <f>SUMIFS('26年实际销量'!V:V,'26年实际销量'!$A:$A,$C:$C)</f>
      </c>
      <c r="BQ8" s="138">
        <f t="shared" si="12"/>
      </c>
      <c r="BR8" s="138" cm="1">
        <f t="array" ref="BR8:BR200">_xlfn.XLOOKUP(C:C,'26年实际销量'!A:A,'26年实际销量'!X:X)</f>
      </c>
      <c r="BS8" s="138">
        <v>1897</v>
      </c>
      <c r="BT8" s="145">
        <f t="shared" si="33"/>
      </c>
      <c r="BU8" s="146">
        <f t="shared" si="20"/>
      </c>
      <c r="BV8" s="146">
        <f t="shared" si="13"/>
      </c>
      <c r="BW8" s="140" cm="1">
        <f t="array" ref="BW8:BW200">_xlfn.XLOOKUP(C:C,'基础销量预测-计划端'!C:C,'基础销量预测-计划端'!AG:AG)</f>
      </c>
      <c r="BX8" s="146">
        <f t="shared" si="34"/>
      </c>
      <c r="BY8" s="141">
        <f t="shared" si="21"/>
      </c>
      <c r="BZ8" s="141">
        <f t="shared" si="22"/>
      </c>
      <c r="CA8" s="141">
        <f t="shared" si="23"/>
      </c>
      <c r="CB8" s="141">
        <f t="shared" si="24"/>
      </c>
      <c r="CC8" s="141">
        <f t="shared" si="25"/>
      </c>
      <c r="CD8" s="141">
        <f t="shared" si="26"/>
      </c>
      <c r="CE8" s="147"/>
      <c r="CF8" s="147"/>
      <c r="CG8" s="147"/>
      <c r="CH8" s="147"/>
      <c r="CI8" s="147"/>
      <c r="CJ8" s="147"/>
      <c r="CK8" s="147"/>
      <c r="CL8" s="143">
        <f t="shared" si="14"/>
      </c>
      <c r="CM8" s="143">
        <f t="shared" si="15"/>
      </c>
      <c r="CN8" s="143">
        <f t="shared" si="16"/>
      </c>
      <c r="CO8" s="143">
        <f t="shared" si="17"/>
      </c>
      <c r="CP8" s="143">
        <f t="shared" si="18"/>
      </c>
      <c r="CQ8" s="143">
        <f t="shared" si="19"/>
      </c>
    </row>
    <row customHeight="true" ht="12" r="9">
      <c r="A9" s="134" cm="1">
        <f t="array" ref="A9:A9">_xlfn.XLOOKUP(C9,'产品基础信息'!B:B,'产品基础信息'!C:C)</f>
      </c>
      <c r="B9" s="144">
        <f>'产品基础信息'!A8</f>
      </c>
      <c r="C9" s="135">
        <f>'产品基础信息'!B8</f>
      </c>
      <c r="D9" s="136">
        <v>0</v>
      </c>
      <c r="E9" s="137">
        <f t="shared" si="42"/>
      </c>
      <c r="F9" s="137">
        <f t="shared" si="43"/>
      </c>
      <c r="G9" s="137">
        <f t="shared" si="44"/>
      </c>
      <c r="H9" s="137">
        <f t="shared" si="45"/>
      </c>
      <c r="I9" s="137">
        <f t="shared" si="46"/>
      </c>
      <c r="J9" s="137">
        <f t="shared" si="47"/>
      </c>
      <c r="K9" s="137">
        <f t="shared" si="48"/>
      </c>
      <c r="L9" s="137">
        <f t="shared" si="49"/>
      </c>
      <c r="M9" s="137">
        <f t="shared" si="50"/>
      </c>
      <c r="N9" s="137">
        <f t="shared" si="51"/>
      </c>
      <c r="O9" s="137">
        <f t="shared" si="52"/>
      </c>
      <c r="P9" s="136">
        <v>0</v>
      </c>
      <c r="Q9" s="136">
        <v>0</v>
      </c>
      <c r="R9" s="136">
        <v>0</v>
      </c>
      <c r="S9" s="137">
        <f t="shared" ref="S9:S15" si="60">(BO9-BN9)/BN9</f>
      </c>
      <c r="T9" s="137">
        <f t="shared" ref="T9:T15" si="62">(BP9-BO9)/BO9</f>
      </c>
      <c r="U9" s="137">
        <f t="shared" ref="U9:U15" si="64">(BQ9-BP9)/BP9</f>
      </c>
      <c r="V9" s="137">
        <v>0</v>
      </c>
      <c r="W9" s="137">
        <v>0</v>
      </c>
      <c r="X9" s="137">
        <v>0</v>
      </c>
      <c r="Y9" s="137">
        <v>0</v>
      </c>
      <c r="Z9" s="137">
        <v>0</v>
      </c>
      <c r="AA9" s="137">
        <v>0</v>
      </c>
      <c r="AB9" s="137"/>
      <c r="AC9" s="137"/>
      <c r="AD9" s="137"/>
      <c r="AE9" s="137"/>
      <c r="AF9" s="137"/>
      <c r="AG9" s="137"/>
      <c r="AH9" s="137">
        <f t="shared" si="36"/>
      </c>
      <c r="AI9" s="137">
        <f t="shared" si="37"/>
      </c>
      <c r="AJ9" s="137">
        <f t="shared" si="38"/>
      </c>
      <c r="AK9" s="137">
        <f t="shared" si="39"/>
      </c>
      <c r="AL9" s="137">
        <f t="shared" si="40"/>
      </c>
      <c r="AM9" s="137">
        <f t="shared" si="41"/>
      </c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45">
        <f>SUMIFS('25年实际销量'!M:M,'25年实际销量'!$A:$A,$C:$C)</f>
      </c>
      <c r="BA9" s="145">
        <f>SUMIFS('25年实际销量'!N:N,'25年实际销量'!$A:$A,$C:$C)</f>
      </c>
      <c r="BB9" s="145">
        <f>SUMIFS('25年实际销量'!O:O,'25年实际销量'!$A:$A,$C:$C)</f>
      </c>
      <c r="BC9" s="145">
        <f>SUMIFS('25年实际销量'!P:P,'25年实际销量'!$A:$A,$C:$C)</f>
      </c>
      <c r="BD9" s="145">
        <f>SUMIFS('25年实际销量'!Q:Q,'25年实际销量'!$A:$A,$C:$C)</f>
      </c>
      <c r="BE9" s="145">
        <f>SUMIFS('25年实际销量'!R:R,'25年实际销量'!$A:$A,$C:$C)</f>
      </c>
      <c r="BF9" s="145">
        <f>SUMIFS('25年实际销量'!S:S,'25年实际销量'!$A:$A,$C:$C)</f>
      </c>
      <c r="BG9" s="145">
        <f>SUMIFS('25年实际销量'!T:T,'25年实际销量'!$A:$A,$C:$C)</f>
      </c>
      <c r="BH9" s="145">
        <f>SUMIFS('25年实际销量'!U:U,'25年实际销量'!$A:$A,$C:$C)</f>
      </c>
      <c r="BI9" s="145">
        <f>SUMIFS('25年实际销量'!V:V,'25年实际销量'!$A:$A,$C:$C)</f>
      </c>
      <c r="BJ9" s="145">
        <f>SUMIFS('25年实际销量'!W:W,'25年实际销量'!$A:$A,$C:$C)</f>
      </c>
      <c r="BK9" s="145">
        <f>SUMIFS('25年实际销量'!X:X,'25年实际销量'!$A:$A,$C:$C)</f>
      </c>
      <c r="BL9" s="145">
        <f>SUMIFS('26年实际销量'!R:R,'26年实际销量'!$A:$A,$C:$C)</f>
      </c>
      <c r="BM9" s="145">
        <f>SUMIFS('26年实际销量'!S:S,'26年实际销量'!$A:$A,$C:$C)</f>
      </c>
      <c r="BN9" s="145">
        <f>SUMIFS('26年实际销量'!T:T,'26年实际销量'!$A:$A,$C:$C)</f>
      </c>
      <c r="BO9" s="145">
        <f>SUMIFS('26年实际销量'!U:U,'26年实际销量'!$A:$A,$C:$C)</f>
      </c>
      <c r="BP9" s="145">
        <f>SUMIFS('26年实际销量'!V:V,'26年实际销量'!$A:$A,$C:$C)</f>
      </c>
      <c r="BQ9" s="138">
        <f t="shared" si="12"/>
      </c>
      <c r="BR9" s="138" cm="1">
        <f t="array" ref="BR9:BR200">_xlfn.XLOOKUP(C:C,'26年实际销量'!A:A,'26年实际销量'!X:X)</f>
      </c>
      <c r="BS9" s="138">
        <v>1599</v>
      </c>
      <c r="BT9" s="145">
        <f t="shared" si="33"/>
      </c>
      <c r="BU9" s="146">
        <f t="shared" si="20"/>
      </c>
      <c r="BV9" s="146">
        <f t="shared" si="13"/>
      </c>
      <c r="BW9" s="140" cm="1">
        <f t="array" ref="BW9:BW200">_xlfn.XLOOKUP(C:C,'基础销量预测-计划端'!C:C,'基础销量预测-计划端'!AG:AG)</f>
      </c>
      <c r="BX9" s="146">
        <f t="shared" si="34"/>
      </c>
      <c r="BY9" s="141">
        <f t="shared" si="21"/>
      </c>
      <c r="BZ9" s="141">
        <f t="shared" si="22"/>
      </c>
      <c r="CA9" s="141">
        <f t="shared" si="23"/>
      </c>
      <c r="CB9" s="141">
        <f t="shared" si="24"/>
      </c>
      <c r="CC9" s="141">
        <f t="shared" si="25"/>
      </c>
      <c r="CD9" s="141">
        <f t="shared" si="26"/>
      </c>
      <c r="CE9" s="147"/>
      <c r="CF9" s="147"/>
      <c r="CG9" s="147"/>
      <c r="CH9" s="147"/>
      <c r="CI9" s="147"/>
      <c r="CJ9" s="147"/>
      <c r="CK9" s="147"/>
      <c r="CL9" s="143">
        <f t="shared" si="14"/>
      </c>
      <c r="CM9" s="143">
        <f t="shared" si="15"/>
      </c>
      <c r="CN9" s="143">
        <f t="shared" si="16"/>
      </c>
      <c r="CO9" s="143">
        <f t="shared" si="17"/>
      </c>
      <c r="CP9" s="143">
        <f t="shared" si="18"/>
      </c>
      <c r="CQ9" s="143">
        <f t="shared" si="19"/>
      </c>
    </row>
    <row customHeight="true" ht="12" r="10">
      <c r="A10" s="134" cm="1">
        <f t="array" ref="A10:A10">_xlfn.XLOOKUP(C10,'产品基础信息'!B:B,'产品基础信息'!C:C)</f>
      </c>
      <c r="B10" s="144">
        <f>'产品基础信息'!A9</f>
      </c>
      <c r="C10" s="135">
        <f>'产品基础信息'!B9</f>
      </c>
      <c r="D10" s="136">
        <v>0</v>
      </c>
      <c r="E10" s="137">
        <f t="shared" si="42"/>
      </c>
      <c r="F10" s="137">
        <f t="shared" si="43"/>
      </c>
      <c r="G10" s="137">
        <f t="shared" si="44"/>
      </c>
      <c r="H10" s="137">
        <f t="shared" si="45"/>
      </c>
      <c r="I10" s="137">
        <f t="shared" si="46"/>
      </c>
      <c r="J10" s="137">
        <f t="shared" si="47"/>
      </c>
      <c r="K10" s="137">
        <f t="shared" si="48"/>
      </c>
      <c r="L10" s="137">
        <f t="shared" si="49"/>
      </c>
      <c r="M10" s="137">
        <f t="shared" si="50"/>
      </c>
      <c r="N10" s="137">
        <f t="shared" si="51"/>
      </c>
      <c r="O10" s="137">
        <f t="shared" si="52"/>
      </c>
      <c r="P10" s="136">
        <v>0</v>
      </c>
      <c r="Q10" s="137">
        <f t="shared" ref="Q10:Q15" si="56">(BM10-BL10)/BL10</f>
      </c>
      <c r="R10" s="137">
        <f t="shared" ref="R10:R15" si="58">(BN10-BM10)/BM10</f>
      </c>
      <c r="S10" s="137">
        <f t="shared" si="60"/>
      </c>
      <c r="T10" s="137">
        <f t="shared" si="62"/>
      </c>
      <c r="U10" s="137">
        <f t="shared" si="64"/>
      </c>
      <c r="V10" s="137">
        <v>0</v>
      </c>
      <c r="W10" s="137">
        <v>0</v>
      </c>
      <c r="X10" s="137">
        <v>0</v>
      </c>
      <c r="Y10" s="137">
        <v>0</v>
      </c>
      <c r="Z10" s="137">
        <v>0</v>
      </c>
      <c r="AA10" s="137">
        <v>0</v>
      </c>
      <c r="AB10" s="137"/>
      <c r="AC10" s="137"/>
      <c r="AD10" s="137"/>
      <c r="AE10" s="137"/>
      <c r="AF10" s="137"/>
      <c r="AG10" s="137"/>
      <c r="AH10" s="137">
        <f t="shared" si="36"/>
      </c>
      <c r="AI10" s="137">
        <f t="shared" si="37"/>
      </c>
      <c r="AJ10" s="137">
        <f t="shared" si="38"/>
      </c>
      <c r="AK10" s="137">
        <f t="shared" si="39"/>
      </c>
      <c r="AL10" s="137">
        <f t="shared" si="40"/>
      </c>
      <c r="AM10" s="137">
        <f t="shared" si="41"/>
      </c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45">
        <f>SUMIFS('25年实际销量'!M:M,'25年实际销量'!$A:$A,$C:$C)</f>
      </c>
      <c r="BA10" s="145">
        <f>SUMIFS('25年实际销量'!N:N,'25年实际销量'!$A:$A,$C:$C)</f>
      </c>
      <c r="BB10" s="145">
        <f>SUMIFS('25年实际销量'!O:O,'25年实际销量'!$A:$A,$C:$C)</f>
      </c>
      <c r="BC10" s="145">
        <f>SUMIFS('25年实际销量'!P:P,'25年实际销量'!$A:$A,$C:$C)</f>
      </c>
      <c r="BD10" s="145">
        <f>SUMIFS('25年实际销量'!Q:Q,'25年实际销量'!$A:$A,$C:$C)</f>
      </c>
      <c r="BE10" s="145">
        <f>SUMIFS('25年实际销量'!R:R,'25年实际销量'!$A:$A,$C:$C)</f>
      </c>
      <c r="BF10" s="145">
        <f>SUMIFS('25年实际销量'!S:S,'25年实际销量'!$A:$A,$C:$C)</f>
      </c>
      <c r="BG10" s="145">
        <f>SUMIFS('25年实际销量'!T:T,'25年实际销量'!$A:$A,$C:$C)</f>
      </c>
      <c r="BH10" s="145">
        <f>SUMIFS('25年实际销量'!U:U,'25年实际销量'!$A:$A,$C:$C)</f>
      </c>
      <c r="BI10" s="145">
        <f>SUMIFS('25年实际销量'!V:V,'25年实际销量'!$A:$A,$C:$C)</f>
      </c>
      <c r="BJ10" s="145">
        <f>SUMIFS('25年实际销量'!W:W,'25年实际销量'!$A:$A,$C:$C)</f>
      </c>
      <c r="BK10" s="145">
        <f>SUMIFS('25年实际销量'!X:X,'25年实际销量'!$A:$A,$C:$C)</f>
      </c>
      <c r="BL10" s="145">
        <f>SUMIFS('26年实际销量'!R:R,'26年实际销量'!$A:$A,$C:$C)</f>
      </c>
      <c r="BM10" s="145">
        <f>SUMIFS('26年实际销量'!S:S,'26年实际销量'!$A:$A,$C:$C)</f>
      </c>
      <c r="BN10" s="145">
        <f>SUMIFS('26年实际销量'!T:T,'26年实际销量'!$A:$A,$C:$C)</f>
      </c>
      <c r="BO10" s="145">
        <f>SUMIFS('26年实际销量'!U:U,'26年实际销量'!$A:$A,$C:$C)</f>
      </c>
      <c r="BP10" s="145">
        <f>SUMIFS('26年实际销量'!V:V,'26年实际销量'!$A:$A,$C:$C)</f>
      </c>
      <c r="BQ10" s="138">
        <f t="shared" si="12"/>
      </c>
      <c r="BR10" s="138" cm="1">
        <f t="array" ref="BR10:BR200">_xlfn.XLOOKUP(C:C,'26年实际销量'!A:A,'26年实际销量'!X:X)</f>
      </c>
      <c r="BS10" s="138">
        <v>1352</v>
      </c>
      <c r="BT10" s="145">
        <f t="shared" si="33"/>
      </c>
      <c r="BU10" s="146">
        <f t="shared" si="20"/>
      </c>
      <c r="BV10" s="146">
        <f t="shared" si="13"/>
      </c>
      <c r="BW10" s="140" cm="1">
        <f t="array" ref="BW10:BW200">_xlfn.XLOOKUP(C:C,'基础销量预测-计划端'!C:C,'基础销量预测-计划端'!AG:AG)</f>
      </c>
      <c r="BX10" s="146">
        <f t="shared" si="34"/>
      </c>
      <c r="BY10" s="141">
        <f t="shared" si="21"/>
      </c>
      <c r="BZ10" s="141">
        <f t="shared" si="22"/>
      </c>
      <c r="CA10" s="141">
        <f t="shared" si="23"/>
      </c>
      <c r="CB10" s="141">
        <f t="shared" si="24"/>
      </c>
      <c r="CC10" s="141">
        <f t="shared" si="25"/>
      </c>
      <c r="CD10" s="141">
        <f t="shared" si="26"/>
      </c>
      <c r="CE10" s="147"/>
      <c r="CF10" s="147"/>
      <c r="CG10" s="147"/>
      <c r="CH10" s="147"/>
      <c r="CI10" s="147"/>
      <c r="CJ10" s="147"/>
      <c r="CK10" s="147"/>
      <c r="CL10" s="143">
        <f t="shared" si="14"/>
      </c>
      <c r="CM10" s="143">
        <f t="shared" si="15"/>
      </c>
      <c r="CN10" s="143">
        <f t="shared" si="16"/>
      </c>
      <c r="CO10" s="143">
        <f t="shared" si="17"/>
      </c>
      <c r="CP10" s="143">
        <f t="shared" si="18"/>
      </c>
      <c r="CQ10" s="143">
        <f t="shared" si="19"/>
      </c>
    </row>
    <row customHeight="true" ht="12" r="11">
      <c r="A11" s="134" cm="1">
        <f t="array" ref="A11:A11">_xlfn.XLOOKUP(C11,'产品基础信息'!B:B,'产品基础信息'!C:C)</f>
      </c>
      <c r="B11" s="135">
        <f>'产品基础信息'!A10</f>
      </c>
      <c r="C11" s="135">
        <f>'产品基础信息'!B10</f>
      </c>
      <c r="D11" s="136">
        <v>0</v>
      </c>
      <c r="E11" s="137">
        <f t="shared" si="42"/>
      </c>
      <c r="F11" s="137">
        <f t="shared" si="43"/>
      </c>
      <c r="G11" s="137">
        <f t="shared" si="44"/>
      </c>
      <c r="H11" s="137">
        <f t="shared" si="45"/>
      </c>
      <c r="I11" s="137">
        <f t="shared" si="46"/>
      </c>
      <c r="J11" s="137">
        <f t="shared" si="47"/>
      </c>
      <c r="K11" s="137">
        <f t="shared" si="48"/>
      </c>
      <c r="L11" s="137">
        <f t="shared" si="49"/>
      </c>
      <c r="M11" s="137">
        <f t="shared" si="50"/>
      </c>
      <c r="N11" s="137">
        <f t="shared" si="51"/>
      </c>
      <c r="O11" s="137">
        <f t="shared" si="52"/>
      </c>
      <c r="P11" s="137">
        <f t="shared" ref="P11:P15" si="54">(BL11-BK11)/BK11</f>
      </c>
      <c r="Q11" s="137">
        <f t="shared" si="56"/>
      </c>
      <c r="R11" s="137">
        <f t="shared" si="58"/>
      </c>
      <c r="S11" s="137">
        <f t="shared" si="60"/>
      </c>
      <c r="T11" s="137">
        <f t="shared" si="62"/>
      </c>
      <c r="U11" s="137">
        <f t="shared" si="64"/>
      </c>
      <c r="V11" s="137">
        <f t="shared" ref="V11:V15" si="1">AZ11/SUM($AZ11:$BE11)</f>
      </c>
      <c r="W11" s="137">
        <f t="shared" ref="W11:W15" si="3">BA11/SUM($AZ11:$BE11)</f>
      </c>
      <c r="X11" s="137">
        <f t="shared" ref="X11:X15" si="5">BB11/SUM($AZ11:$BE11)</f>
      </c>
      <c r="Y11" s="137">
        <f t="shared" ref="Y11:Y15" si="7">BC11/SUM($AZ11:$BE11)</f>
      </c>
      <c r="Z11" s="137">
        <f t="shared" ref="Z11:Z15" si="9">BD11/SUM($AZ11:$BE11)</f>
      </c>
      <c r="AA11" s="137">
        <f t="shared" ref="AA11:AA15" si="11">BE11/SUM($AZ11:$BE11)</f>
      </c>
      <c r="AB11" s="137"/>
      <c r="AC11" s="137"/>
      <c r="AD11" s="137"/>
      <c r="AE11" s="137"/>
      <c r="AF11" s="137"/>
      <c r="AG11" s="137"/>
      <c r="AH11" s="137">
        <f t="shared" si="36"/>
      </c>
      <c r="AI11" s="137">
        <f t="shared" si="37"/>
      </c>
      <c r="AJ11" s="137">
        <f t="shared" si="38"/>
      </c>
      <c r="AK11" s="137">
        <f t="shared" si="39"/>
      </c>
      <c r="AL11" s="137">
        <f t="shared" si="40"/>
      </c>
      <c r="AM11" s="137">
        <f t="shared" si="41"/>
      </c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8">
        <f>SUMIFS('25年实际销量'!M:M,'25年实际销量'!$A:$A,$C:$C)</f>
      </c>
      <c r="BA11" s="138">
        <f>SUMIFS('25年实际销量'!N:N,'25年实际销量'!$A:$A,$C:$C)</f>
      </c>
      <c r="BB11" s="138">
        <f>SUMIFS('25年实际销量'!O:O,'25年实际销量'!$A:$A,$C:$C)</f>
      </c>
      <c r="BC11" s="138">
        <f>SUMIFS('25年实际销量'!P:P,'25年实际销量'!$A:$A,$C:$C)</f>
      </c>
      <c r="BD11" s="138">
        <f>SUMIFS('25年实际销量'!Q:Q,'25年实际销量'!$A:$A,$C:$C)</f>
      </c>
      <c r="BE11" s="138">
        <f>SUMIFS('25年实际销量'!R:R,'25年实际销量'!$A:$A,$C:$C)</f>
      </c>
      <c r="BF11" s="138">
        <f>SUMIFS('25年实际销量'!S:S,'25年实际销量'!$A:$A,$C:$C)</f>
      </c>
      <c r="BG11" s="138">
        <f>SUMIFS('25年实际销量'!T:T,'25年实际销量'!$A:$A,$C:$C)</f>
      </c>
      <c r="BH11" s="138">
        <f>SUMIFS('25年实际销量'!U:U,'25年实际销量'!$A:$A,$C:$C)</f>
      </c>
      <c r="BI11" s="138">
        <f>SUMIFS('25年实际销量'!V:V,'25年实际销量'!$A:$A,$C:$C)</f>
      </c>
      <c r="BJ11" s="138">
        <f>SUMIFS('25年实际销量'!W:W,'25年实际销量'!$A:$A,$C:$C)</f>
      </c>
      <c r="BK11" s="138">
        <f>SUMIFS('25年实际销量'!X:X,'25年实际销量'!$A:$A,$C:$C)</f>
      </c>
      <c r="BL11" s="138">
        <f>SUMIFS('26年实际销量'!R:R,'26年实际销量'!$A:$A,$C:$C)</f>
      </c>
      <c r="BM11" s="138">
        <f>SUMIFS('26年实际销量'!S:S,'26年实际销量'!$A:$A,$C:$C)</f>
      </c>
      <c r="BN11" s="138">
        <f>SUMIFS('26年实际销量'!T:T,'26年实际销量'!$A:$A,$C:$C)</f>
      </c>
      <c r="BO11" s="138">
        <f>SUMIFS('26年实际销量'!U:U,'26年实际销量'!$A:$A,$C:$C)</f>
      </c>
      <c r="BP11" s="138">
        <f>SUMIFS('26年实际销量'!V:V,'26年实际销量'!$A:$A,$C:$C)</f>
      </c>
      <c r="BQ11" s="138">
        <f t="shared" si="12"/>
      </c>
      <c r="BR11" s="138" cm="1">
        <f t="array" ref="BR11:BR200">_xlfn.XLOOKUP(C:C,'26年实际销量'!A:A,'26年实际销量'!X:X)</f>
      </c>
      <c r="BS11" s="138">
        <v>2693</v>
      </c>
      <c r="BT11" s="139">
        <f t="shared" si="33"/>
      </c>
      <c r="BU11" s="140">
        <f t="shared" si="20"/>
      </c>
      <c r="BV11" s="140">
        <f t="shared" si="13"/>
      </c>
      <c r="BW11" s="140" cm="1">
        <f t="array" ref="BW11:BW200">_xlfn.XLOOKUP(C:C,'基础销量预测-计划端'!C:C,'基础销量预测-计划端'!AG:AG)</f>
      </c>
      <c r="BX11" s="140">
        <f t="shared" si="34"/>
      </c>
      <c r="BY11" s="141">
        <f t="shared" si="21"/>
      </c>
      <c r="BZ11" s="141">
        <f t="shared" si="22"/>
      </c>
      <c r="CA11" s="141">
        <f t="shared" si="23"/>
      </c>
      <c r="CB11" s="141">
        <f t="shared" si="24"/>
      </c>
      <c r="CC11" s="141">
        <f t="shared" si="25"/>
      </c>
      <c r="CD11" s="141">
        <f t="shared" si="26"/>
      </c>
      <c r="CE11" s="142"/>
      <c r="CF11" s="142"/>
      <c r="CG11" s="142"/>
      <c r="CH11" s="142"/>
      <c r="CI11" s="142"/>
      <c r="CJ11" s="142"/>
      <c r="CK11" s="142"/>
      <c r="CL11" s="143">
        <f t="shared" si="14"/>
      </c>
      <c r="CM11" s="143">
        <f t="shared" si="15"/>
      </c>
      <c r="CN11" s="143">
        <f t="shared" si="16"/>
      </c>
      <c r="CO11" s="143">
        <f t="shared" si="17"/>
      </c>
      <c r="CP11" s="143">
        <f t="shared" si="18"/>
      </c>
      <c r="CQ11" s="143">
        <f t="shared" si="19"/>
      </c>
    </row>
    <row customHeight="true" ht="12" r="12">
      <c r="A12" s="134" cm="1">
        <f t="array" ref="A12:A12">_xlfn.XLOOKUP(C12,'产品基础信息'!B:B,'产品基础信息'!C:C)</f>
      </c>
      <c r="B12" s="135">
        <f>'产品基础信息'!A11</f>
      </c>
      <c r="C12" s="135">
        <f>'产品基础信息'!B11</f>
      </c>
      <c r="D12" s="136">
        <v>0</v>
      </c>
      <c r="E12" s="137">
        <f t="shared" si="42"/>
      </c>
      <c r="F12" s="137">
        <f t="shared" si="43"/>
      </c>
      <c r="G12" s="137">
        <f t="shared" si="44"/>
      </c>
      <c r="H12" s="137">
        <f t="shared" si="45"/>
      </c>
      <c r="I12" s="137">
        <f t="shared" si="46"/>
      </c>
      <c r="J12" s="137">
        <f t="shared" si="47"/>
      </c>
      <c r="K12" s="137">
        <f t="shared" si="48"/>
      </c>
      <c r="L12" s="137">
        <f t="shared" si="49"/>
      </c>
      <c r="M12" s="137">
        <f t="shared" si="50"/>
      </c>
      <c r="N12" s="137">
        <f t="shared" si="51"/>
      </c>
      <c r="O12" s="137">
        <f t="shared" si="52"/>
      </c>
      <c r="P12" s="137">
        <f t="shared" si="54"/>
      </c>
      <c r="Q12" s="137">
        <f t="shared" si="56"/>
      </c>
      <c r="R12" s="137">
        <f t="shared" si="58"/>
      </c>
      <c r="S12" s="137">
        <f t="shared" si="60"/>
      </c>
      <c r="T12" s="137">
        <f t="shared" si="62"/>
      </c>
      <c r="U12" s="137">
        <f t="shared" si="64"/>
      </c>
      <c r="V12" s="137">
        <f t="shared" si="1"/>
      </c>
      <c r="W12" s="137">
        <f t="shared" si="3"/>
      </c>
      <c r="X12" s="137">
        <f t="shared" si="5"/>
      </c>
      <c r="Y12" s="137">
        <f t="shared" si="7"/>
      </c>
      <c r="Z12" s="137">
        <f t="shared" si="9"/>
      </c>
      <c r="AA12" s="137">
        <f t="shared" si="11"/>
      </c>
      <c r="AB12" s="137"/>
      <c r="AC12" s="137"/>
      <c r="AD12" s="137"/>
      <c r="AE12" s="137"/>
      <c r="AF12" s="137"/>
      <c r="AG12" s="137"/>
      <c r="AH12" s="137">
        <f t="shared" si="36"/>
      </c>
      <c r="AI12" s="137">
        <f t="shared" si="37"/>
      </c>
      <c r="AJ12" s="137">
        <f t="shared" si="38"/>
      </c>
      <c r="AK12" s="137">
        <f t="shared" si="39"/>
      </c>
      <c r="AL12" s="137">
        <f t="shared" si="40"/>
      </c>
      <c r="AM12" s="137">
        <f t="shared" si="41"/>
      </c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8">
        <f>SUMIFS('25年实际销量'!M:M,'25年实际销量'!$A:$A,$C:$C)</f>
      </c>
      <c r="BA12" s="138">
        <f>SUMIFS('25年实际销量'!N:N,'25年实际销量'!$A:$A,$C:$C)</f>
      </c>
      <c r="BB12" s="138">
        <f>SUMIFS('25年实际销量'!O:O,'25年实际销量'!$A:$A,$C:$C)</f>
      </c>
      <c r="BC12" s="138">
        <f>SUMIFS('25年实际销量'!P:P,'25年实际销量'!$A:$A,$C:$C)</f>
      </c>
      <c r="BD12" s="138">
        <f>SUMIFS('25年实际销量'!Q:Q,'25年实际销量'!$A:$A,$C:$C)</f>
      </c>
      <c r="BE12" s="138">
        <f>SUMIFS('25年实际销量'!R:R,'25年实际销量'!$A:$A,$C:$C)</f>
      </c>
      <c r="BF12" s="138">
        <f>SUMIFS('25年实际销量'!S:S,'25年实际销量'!$A:$A,$C:$C)</f>
      </c>
      <c r="BG12" s="138">
        <f>SUMIFS('25年实际销量'!T:T,'25年实际销量'!$A:$A,$C:$C)</f>
      </c>
      <c r="BH12" s="138">
        <f>SUMIFS('25年实际销量'!U:U,'25年实际销量'!$A:$A,$C:$C)</f>
      </c>
      <c r="BI12" s="138">
        <f>SUMIFS('25年实际销量'!V:V,'25年实际销量'!$A:$A,$C:$C)</f>
      </c>
      <c r="BJ12" s="138">
        <f>SUMIFS('25年实际销量'!W:W,'25年实际销量'!$A:$A,$C:$C)</f>
      </c>
      <c r="BK12" s="138">
        <f>SUMIFS('25年实际销量'!X:X,'25年实际销量'!$A:$A,$C:$C)</f>
      </c>
      <c r="BL12" s="138">
        <f>SUMIFS('26年实际销量'!R:R,'26年实际销量'!$A:$A,$C:$C)</f>
      </c>
      <c r="BM12" s="138">
        <f>SUMIFS('26年实际销量'!S:S,'26年实际销量'!$A:$A,$C:$C)</f>
      </c>
      <c r="BN12" s="138">
        <f>SUMIFS('26年实际销量'!T:T,'26年实际销量'!$A:$A,$C:$C)</f>
      </c>
      <c r="BO12" s="138">
        <f>SUMIFS('26年实际销量'!U:U,'26年实际销量'!$A:$A,$C:$C)</f>
      </c>
      <c r="BP12" s="138">
        <f>SUMIFS('26年实际销量'!V:V,'26年实际销量'!$A:$A,$C:$C)</f>
      </c>
      <c r="BQ12" s="138">
        <f t="shared" si="12"/>
      </c>
      <c r="BR12" s="138" cm="1">
        <f t="array" ref="BR12:BR200">_xlfn.XLOOKUP(C:C,'26年实际销量'!A:A,'26年实际销量'!X:X)</f>
      </c>
      <c r="BS12" s="138">
        <v>2568</v>
      </c>
      <c r="BT12" s="139">
        <f t="shared" si="33"/>
      </c>
      <c r="BU12" s="140">
        <f t="shared" si="20"/>
      </c>
      <c r="BV12" s="140">
        <f t="shared" si="13"/>
      </c>
      <c r="BW12" s="140" cm="1">
        <f t="array" ref="BW12:BW200">_xlfn.XLOOKUP(C:C,'基础销量预测-计划端'!C:C,'基础销量预测-计划端'!AG:AG)</f>
      </c>
      <c r="BX12" s="140">
        <f t="shared" si="34"/>
      </c>
      <c r="BY12" s="141">
        <f t="shared" si="21"/>
      </c>
      <c r="BZ12" s="141">
        <f t="shared" si="22"/>
      </c>
      <c r="CA12" s="141">
        <f t="shared" si="23"/>
      </c>
      <c r="CB12" s="141">
        <f t="shared" si="24"/>
      </c>
      <c r="CC12" s="141">
        <f t="shared" si="25"/>
      </c>
      <c r="CD12" s="141">
        <f t="shared" si="26"/>
      </c>
      <c r="CE12" s="142"/>
      <c r="CF12" s="142"/>
      <c r="CG12" s="142"/>
      <c r="CH12" s="142"/>
      <c r="CI12" s="142"/>
      <c r="CJ12" s="142"/>
      <c r="CK12" s="142"/>
      <c r="CL12" s="143">
        <f t="shared" si="14"/>
      </c>
      <c r="CM12" s="143">
        <f t="shared" si="15"/>
      </c>
      <c r="CN12" s="143">
        <f t="shared" si="16"/>
      </c>
      <c r="CO12" s="143">
        <f t="shared" si="17"/>
      </c>
      <c r="CP12" s="143">
        <f t="shared" si="18"/>
      </c>
      <c r="CQ12" s="143">
        <f t="shared" si="19"/>
      </c>
    </row>
    <row customHeight="true" ht="12" r="13">
      <c r="A13" s="134" cm="1">
        <f t="array" ref="A13:A13">_xlfn.XLOOKUP(C13,'产品基础信息'!B:B,'产品基础信息'!C:C)</f>
      </c>
      <c r="B13" s="135">
        <f>'产品基础信息'!A12</f>
      </c>
      <c r="C13" s="135">
        <f>'产品基础信息'!B12</f>
      </c>
      <c r="D13" s="136">
        <v>0</v>
      </c>
      <c r="E13" s="137">
        <f t="shared" si="42"/>
      </c>
      <c r="F13" s="137">
        <f t="shared" si="43"/>
      </c>
      <c r="G13" s="137">
        <f t="shared" si="44"/>
      </c>
      <c r="H13" s="137">
        <f t="shared" si="45"/>
      </c>
      <c r="I13" s="137">
        <f t="shared" si="46"/>
      </c>
      <c r="J13" s="137">
        <f t="shared" si="47"/>
      </c>
      <c r="K13" s="137">
        <f t="shared" si="48"/>
      </c>
      <c r="L13" s="137">
        <f t="shared" si="49"/>
      </c>
      <c r="M13" s="137">
        <f t="shared" si="50"/>
      </c>
      <c r="N13" s="137">
        <f t="shared" si="51"/>
      </c>
      <c r="O13" s="137">
        <f t="shared" si="52"/>
      </c>
      <c r="P13" s="137">
        <f t="shared" si="54"/>
      </c>
      <c r="Q13" s="137">
        <f t="shared" si="56"/>
      </c>
      <c r="R13" s="137">
        <f t="shared" si="58"/>
      </c>
      <c r="S13" s="137">
        <f t="shared" si="60"/>
      </c>
      <c r="T13" s="137">
        <f t="shared" si="62"/>
      </c>
      <c r="U13" s="137">
        <f t="shared" si="64"/>
      </c>
      <c r="V13" s="137">
        <f t="shared" si="1"/>
      </c>
      <c r="W13" s="137">
        <f t="shared" si="3"/>
      </c>
      <c r="X13" s="137">
        <f t="shared" si="5"/>
      </c>
      <c r="Y13" s="137">
        <f t="shared" si="7"/>
      </c>
      <c r="Z13" s="137">
        <f t="shared" si="9"/>
      </c>
      <c r="AA13" s="137">
        <f t="shared" si="11"/>
      </c>
      <c r="AB13" s="137"/>
      <c r="AC13" s="137"/>
      <c r="AD13" s="137"/>
      <c r="AE13" s="137"/>
      <c r="AF13" s="137"/>
      <c r="AG13" s="137"/>
      <c r="AH13" s="137">
        <f t="shared" si="36"/>
      </c>
      <c r="AI13" s="137">
        <f t="shared" si="37"/>
      </c>
      <c r="AJ13" s="137">
        <f t="shared" si="38"/>
      </c>
      <c r="AK13" s="137">
        <f t="shared" si="39"/>
      </c>
      <c r="AL13" s="137">
        <f t="shared" si="40"/>
      </c>
      <c r="AM13" s="137">
        <f t="shared" si="41"/>
      </c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8">
        <f>SUMIFS('25年实际销量'!M:M,'25年实际销量'!$A:$A,$C:$C)</f>
      </c>
      <c r="BA13" s="138">
        <f>SUMIFS('25年实际销量'!N:N,'25年实际销量'!$A:$A,$C:$C)</f>
      </c>
      <c r="BB13" s="138">
        <f>SUMIFS('25年实际销量'!O:O,'25年实际销量'!$A:$A,$C:$C)</f>
      </c>
      <c r="BC13" s="138">
        <f>SUMIFS('25年实际销量'!P:P,'25年实际销量'!$A:$A,$C:$C)</f>
      </c>
      <c r="BD13" s="138">
        <f>SUMIFS('25年实际销量'!Q:Q,'25年实际销量'!$A:$A,$C:$C)</f>
      </c>
      <c r="BE13" s="138">
        <f>SUMIFS('25年实际销量'!R:R,'25年实际销量'!$A:$A,$C:$C)</f>
      </c>
      <c r="BF13" s="138">
        <f>SUMIFS('25年实际销量'!S:S,'25年实际销量'!$A:$A,$C:$C)</f>
      </c>
      <c r="BG13" s="138">
        <f>SUMIFS('25年实际销量'!T:T,'25年实际销量'!$A:$A,$C:$C)</f>
      </c>
      <c r="BH13" s="138">
        <f>SUMIFS('25年实际销量'!U:U,'25年实际销量'!$A:$A,$C:$C)</f>
      </c>
      <c r="BI13" s="138">
        <f>SUMIFS('25年实际销量'!V:V,'25年实际销量'!$A:$A,$C:$C)</f>
      </c>
      <c r="BJ13" s="138">
        <f>SUMIFS('25年实际销量'!W:W,'25年实际销量'!$A:$A,$C:$C)</f>
      </c>
      <c r="BK13" s="138">
        <f>SUMIFS('25年实际销量'!X:X,'25年实际销量'!$A:$A,$C:$C)</f>
      </c>
      <c r="BL13" s="138">
        <f>SUMIFS('26年实际销量'!R:R,'26年实际销量'!$A:$A,$C:$C)</f>
      </c>
      <c r="BM13" s="138">
        <f>SUMIFS('26年实际销量'!S:S,'26年实际销量'!$A:$A,$C:$C)</f>
      </c>
      <c r="BN13" s="138">
        <f>SUMIFS('26年实际销量'!T:T,'26年实际销量'!$A:$A,$C:$C)</f>
      </c>
      <c r="BO13" s="138">
        <f>SUMIFS('26年实际销量'!U:U,'26年实际销量'!$A:$A,$C:$C)</f>
      </c>
      <c r="BP13" s="138">
        <f>SUMIFS('26年实际销量'!V:V,'26年实际销量'!$A:$A,$C:$C)</f>
      </c>
      <c r="BQ13" s="138">
        <f t="shared" si="12"/>
      </c>
      <c r="BR13" s="138" cm="1">
        <f t="array" ref="BR13:BR200">_xlfn.XLOOKUP(C:C,'26年实际销量'!A:A,'26年实际销量'!X:X)</f>
      </c>
      <c r="BS13" s="138">
        <v>2120</v>
      </c>
      <c r="BT13" s="139">
        <f t="shared" si="33"/>
      </c>
      <c r="BU13" s="140">
        <f t="shared" si="20"/>
      </c>
      <c r="BV13" s="140">
        <f t="shared" si="13"/>
      </c>
      <c r="BW13" s="140" cm="1">
        <f t="array" ref="BW13:BW200">_xlfn.XLOOKUP(C:C,'基础销量预测-计划端'!C:C,'基础销量预测-计划端'!AG:AG)</f>
      </c>
      <c r="BX13" s="140">
        <f t="shared" si="34"/>
      </c>
      <c r="BY13" s="141">
        <f t="shared" si="21"/>
      </c>
      <c r="BZ13" s="141">
        <f t="shared" si="22"/>
      </c>
      <c r="CA13" s="141">
        <f t="shared" si="23"/>
      </c>
      <c r="CB13" s="141">
        <f t="shared" si="24"/>
      </c>
      <c r="CC13" s="141">
        <f t="shared" si="25"/>
      </c>
      <c r="CD13" s="141">
        <f t="shared" si="26"/>
      </c>
      <c r="CE13" s="142"/>
      <c r="CF13" s="142"/>
      <c r="CG13" s="142"/>
      <c r="CH13" s="142"/>
      <c r="CI13" s="142"/>
      <c r="CJ13" s="142"/>
      <c r="CK13" s="142"/>
      <c r="CL13" s="143">
        <f t="shared" si="14"/>
      </c>
      <c r="CM13" s="143">
        <f t="shared" si="15"/>
      </c>
      <c r="CN13" s="143">
        <f t="shared" si="16"/>
      </c>
      <c r="CO13" s="143">
        <f t="shared" si="17"/>
      </c>
      <c r="CP13" s="143">
        <f t="shared" si="18"/>
      </c>
      <c r="CQ13" s="143">
        <f t="shared" si="19"/>
      </c>
    </row>
    <row customHeight="true" ht="12" r="14">
      <c r="A14" s="134" cm="1">
        <f t="array" ref="A14:A14">_xlfn.XLOOKUP(C14,'产品基础信息'!B:B,'产品基础信息'!C:C)</f>
      </c>
      <c r="B14" s="135">
        <f>'产品基础信息'!A13</f>
      </c>
      <c r="C14" s="135">
        <f>'产品基础信息'!B13</f>
      </c>
      <c r="D14" s="136">
        <v>0</v>
      </c>
      <c r="E14" s="137">
        <f t="shared" si="42"/>
      </c>
      <c r="F14" s="137">
        <f t="shared" si="43"/>
      </c>
      <c r="G14" s="137">
        <f t="shared" si="44"/>
      </c>
      <c r="H14" s="137">
        <f t="shared" si="45"/>
      </c>
      <c r="I14" s="137">
        <f t="shared" si="46"/>
      </c>
      <c r="J14" s="137">
        <f t="shared" si="47"/>
      </c>
      <c r="K14" s="137">
        <f t="shared" si="48"/>
      </c>
      <c r="L14" s="137">
        <f t="shared" si="49"/>
      </c>
      <c r="M14" s="137">
        <f t="shared" si="50"/>
      </c>
      <c r="N14" s="137">
        <f t="shared" si="51"/>
      </c>
      <c r="O14" s="137">
        <f t="shared" si="52"/>
      </c>
      <c r="P14" s="137">
        <f t="shared" si="54"/>
      </c>
      <c r="Q14" s="137">
        <f t="shared" si="56"/>
      </c>
      <c r="R14" s="137">
        <f t="shared" si="58"/>
      </c>
      <c r="S14" s="137">
        <f t="shared" si="60"/>
      </c>
      <c r="T14" s="137">
        <f t="shared" si="62"/>
      </c>
      <c r="U14" s="137">
        <f t="shared" si="64"/>
      </c>
      <c r="V14" s="137">
        <f t="shared" si="1"/>
      </c>
      <c r="W14" s="137">
        <f t="shared" si="3"/>
      </c>
      <c r="X14" s="137">
        <f t="shared" si="5"/>
      </c>
      <c r="Y14" s="137">
        <f t="shared" si="7"/>
      </c>
      <c r="Z14" s="137">
        <f t="shared" si="9"/>
      </c>
      <c r="AA14" s="137">
        <f t="shared" si="11"/>
      </c>
      <c r="AB14" s="137"/>
      <c r="AC14" s="137"/>
      <c r="AD14" s="137"/>
      <c r="AE14" s="137"/>
      <c r="AF14" s="137"/>
      <c r="AG14" s="137"/>
      <c r="AH14" s="137">
        <f t="shared" si="36"/>
      </c>
      <c r="AI14" s="137">
        <f t="shared" si="37"/>
      </c>
      <c r="AJ14" s="137">
        <f t="shared" si="38"/>
      </c>
      <c r="AK14" s="137">
        <f t="shared" si="39"/>
      </c>
      <c r="AL14" s="137">
        <f t="shared" si="40"/>
      </c>
      <c r="AM14" s="137">
        <f t="shared" si="41"/>
      </c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8">
        <f>SUMIFS('25年实际销量'!M:M,'25年实际销量'!$A:$A,$C:$C)</f>
      </c>
      <c r="BA14" s="138">
        <f>SUMIFS('25年实际销量'!N:N,'25年实际销量'!$A:$A,$C:$C)</f>
      </c>
      <c r="BB14" s="138">
        <f>SUMIFS('25年实际销量'!O:O,'25年实际销量'!$A:$A,$C:$C)</f>
      </c>
      <c r="BC14" s="138">
        <f>SUMIFS('25年实际销量'!P:P,'25年实际销量'!$A:$A,$C:$C)</f>
      </c>
      <c r="BD14" s="138">
        <f>SUMIFS('25年实际销量'!Q:Q,'25年实际销量'!$A:$A,$C:$C)</f>
      </c>
      <c r="BE14" s="138">
        <f>SUMIFS('25年实际销量'!R:R,'25年实际销量'!$A:$A,$C:$C)</f>
      </c>
      <c r="BF14" s="138">
        <f>SUMIFS('25年实际销量'!S:S,'25年实际销量'!$A:$A,$C:$C)</f>
      </c>
      <c r="BG14" s="138">
        <f>SUMIFS('25年实际销量'!T:T,'25年实际销量'!$A:$A,$C:$C)</f>
      </c>
      <c r="BH14" s="138">
        <f>SUMIFS('25年实际销量'!U:U,'25年实际销量'!$A:$A,$C:$C)</f>
      </c>
      <c r="BI14" s="138">
        <f>SUMIFS('25年实际销量'!V:V,'25年实际销量'!$A:$A,$C:$C)</f>
      </c>
      <c r="BJ14" s="138">
        <f>SUMIFS('25年实际销量'!W:W,'25年实际销量'!$A:$A,$C:$C)</f>
      </c>
      <c r="BK14" s="138">
        <f>SUMIFS('25年实际销量'!X:X,'25年实际销量'!$A:$A,$C:$C)</f>
      </c>
      <c r="BL14" s="138">
        <f>SUMIFS('26年实际销量'!R:R,'26年实际销量'!$A:$A,$C:$C)</f>
      </c>
      <c r="BM14" s="138">
        <f>SUMIFS('26年实际销量'!S:S,'26年实际销量'!$A:$A,$C:$C)</f>
      </c>
      <c r="BN14" s="138">
        <f>SUMIFS('26年实际销量'!T:T,'26年实际销量'!$A:$A,$C:$C)</f>
      </c>
      <c r="BO14" s="138">
        <f>SUMIFS('26年实际销量'!U:U,'26年实际销量'!$A:$A,$C:$C)</f>
      </c>
      <c r="BP14" s="138">
        <f>SUMIFS('26年实际销量'!V:V,'26年实际销量'!$A:$A,$C:$C)</f>
      </c>
      <c r="BQ14" s="138">
        <f t="shared" si="12"/>
      </c>
      <c r="BR14" s="138" cm="1">
        <f t="array" ref="BR14:BR200">_xlfn.XLOOKUP(C:C,'26年实际销量'!A:A,'26年实际销量'!X:X)</f>
      </c>
      <c r="BS14" s="138">
        <v>1199</v>
      </c>
      <c r="BT14" s="139">
        <f t="shared" si="33"/>
      </c>
      <c r="BU14" s="140">
        <f t="shared" si="20"/>
      </c>
      <c r="BV14" s="140">
        <f t="shared" si="13"/>
      </c>
      <c r="BW14" s="140" cm="1">
        <f t="array" ref="BW14:BW200">_xlfn.XLOOKUP(C:C,'基础销量预测-计划端'!C:C,'基础销量预测-计划端'!AG:AG)</f>
      </c>
      <c r="BX14" s="140">
        <f t="shared" si="34"/>
      </c>
      <c r="BY14" s="141">
        <f t="shared" si="21"/>
      </c>
      <c r="BZ14" s="141">
        <f t="shared" si="22"/>
      </c>
      <c r="CA14" s="141">
        <f t="shared" si="23"/>
      </c>
      <c r="CB14" s="141">
        <f t="shared" si="24"/>
      </c>
      <c r="CC14" s="141">
        <f t="shared" si="25"/>
      </c>
      <c r="CD14" s="141">
        <f t="shared" si="26"/>
      </c>
      <c r="CE14" s="142"/>
      <c r="CF14" s="142"/>
      <c r="CG14" s="142"/>
      <c r="CH14" s="142"/>
      <c r="CI14" s="142"/>
      <c r="CJ14" s="142"/>
      <c r="CK14" s="142"/>
      <c r="CL14" s="143">
        <f t="shared" si="14"/>
      </c>
      <c r="CM14" s="143">
        <f t="shared" si="15"/>
      </c>
      <c r="CN14" s="143">
        <f t="shared" si="16"/>
      </c>
      <c r="CO14" s="143">
        <f t="shared" si="17"/>
      </c>
      <c r="CP14" s="143">
        <f t="shared" si="18"/>
      </c>
      <c r="CQ14" s="143">
        <f t="shared" si="19"/>
      </c>
    </row>
    <row customHeight="true" ht="12" r="15">
      <c r="A15" s="134" cm="1">
        <f t="array" ref="A15:A15">_xlfn.XLOOKUP(C15,'产品基础信息'!B:B,'产品基础信息'!C:C)</f>
      </c>
      <c r="B15" s="135">
        <f>'产品基础信息'!A14</f>
      </c>
      <c r="C15" s="135">
        <f>'产品基础信息'!B14</f>
      </c>
      <c r="D15" s="136">
        <v>0</v>
      </c>
      <c r="E15" s="137">
        <f t="shared" si="42"/>
      </c>
      <c r="F15" s="137">
        <f t="shared" si="43"/>
      </c>
      <c r="G15" s="137">
        <f t="shared" si="44"/>
      </c>
      <c r="H15" s="137">
        <f t="shared" si="45"/>
      </c>
      <c r="I15" s="137">
        <f t="shared" si="46"/>
      </c>
      <c r="J15" s="137">
        <f t="shared" si="47"/>
      </c>
      <c r="K15" s="137">
        <f t="shared" si="48"/>
      </c>
      <c r="L15" s="137">
        <f t="shared" si="49"/>
      </c>
      <c r="M15" s="137">
        <f t="shared" si="50"/>
      </c>
      <c r="N15" s="137">
        <f t="shared" si="51"/>
      </c>
      <c r="O15" s="137">
        <f t="shared" si="52"/>
      </c>
      <c r="P15" s="137">
        <f t="shared" si="54"/>
      </c>
      <c r="Q15" s="137">
        <f t="shared" si="56"/>
      </c>
      <c r="R15" s="137">
        <f t="shared" si="58"/>
      </c>
      <c r="S15" s="137">
        <f t="shared" si="60"/>
      </c>
      <c r="T15" s="137">
        <f t="shared" si="62"/>
      </c>
      <c r="U15" s="137">
        <f t="shared" si="64"/>
      </c>
      <c r="V15" s="137">
        <f t="shared" si="1"/>
      </c>
      <c r="W15" s="137">
        <f t="shared" si="3"/>
      </c>
      <c r="X15" s="137">
        <f t="shared" si="5"/>
      </c>
      <c r="Y15" s="137">
        <f t="shared" si="7"/>
      </c>
      <c r="Z15" s="137">
        <f t="shared" si="9"/>
      </c>
      <c r="AA15" s="137">
        <f t="shared" si="11"/>
      </c>
      <c r="AB15" s="137"/>
      <c r="AC15" s="137"/>
      <c r="AD15" s="137"/>
      <c r="AE15" s="137"/>
      <c r="AF15" s="137"/>
      <c r="AG15" s="137"/>
      <c r="AH15" s="137">
        <f t="shared" si="36"/>
      </c>
      <c r="AI15" s="137">
        <f t="shared" si="37"/>
      </c>
      <c r="AJ15" s="137">
        <f t="shared" si="38"/>
      </c>
      <c r="AK15" s="137">
        <f t="shared" si="39"/>
      </c>
      <c r="AL15" s="137">
        <f t="shared" si="40"/>
      </c>
      <c r="AM15" s="137">
        <f t="shared" si="41"/>
      </c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8">
        <f>SUMIFS('25年实际销量'!M:M,'25年实际销量'!$A:$A,$C:$C)</f>
      </c>
      <c r="BA15" s="138">
        <f>SUMIFS('25年实际销量'!N:N,'25年实际销量'!$A:$A,$C:$C)</f>
      </c>
      <c r="BB15" s="138">
        <f>SUMIFS('25年实际销量'!O:O,'25年实际销量'!$A:$A,$C:$C)</f>
      </c>
      <c r="BC15" s="138">
        <f>SUMIFS('25年实际销量'!P:P,'25年实际销量'!$A:$A,$C:$C)</f>
      </c>
      <c r="BD15" s="138">
        <f>SUMIFS('25年实际销量'!Q:Q,'25年实际销量'!$A:$A,$C:$C)</f>
      </c>
      <c r="BE15" s="138">
        <f>SUMIFS('25年实际销量'!R:R,'25年实际销量'!$A:$A,$C:$C)</f>
      </c>
      <c r="BF15" s="138">
        <f>SUMIFS('25年实际销量'!S:S,'25年实际销量'!$A:$A,$C:$C)</f>
      </c>
      <c r="BG15" s="138">
        <f>SUMIFS('25年实际销量'!T:T,'25年实际销量'!$A:$A,$C:$C)</f>
      </c>
      <c r="BH15" s="138">
        <f>SUMIFS('25年实际销量'!U:U,'25年实际销量'!$A:$A,$C:$C)</f>
      </c>
      <c r="BI15" s="138">
        <f>SUMIFS('25年实际销量'!V:V,'25年实际销量'!$A:$A,$C:$C)</f>
      </c>
      <c r="BJ15" s="138">
        <f>SUMIFS('25年实际销量'!W:W,'25年实际销量'!$A:$A,$C:$C)</f>
      </c>
      <c r="BK15" s="138">
        <f>SUMIFS('25年实际销量'!X:X,'25年实际销量'!$A:$A,$C:$C)</f>
      </c>
      <c r="BL15" s="138">
        <f>SUMIFS('26年实际销量'!R:R,'26年实际销量'!$A:$A,$C:$C)</f>
      </c>
      <c r="BM15" s="138">
        <f>SUMIFS('26年实际销量'!S:S,'26年实际销量'!$A:$A,$C:$C)</f>
      </c>
      <c r="BN15" s="138">
        <f>SUMIFS('26年实际销量'!T:T,'26年实际销量'!$A:$A,$C:$C)</f>
      </c>
      <c r="BO15" s="138">
        <f>SUMIFS('26年实际销量'!U:U,'26年实际销量'!$A:$A,$C:$C)</f>
      </c>
      <c r="BP15" s="138">
        <f>SUMIFS('26年实际销量'!V:V,'26年实际销量'!$A:$A,$C:$C)</f>
      </c>
      <c r="BQ15" s="138">
        <f t="shared" si="12"/>
      </c>
      <c r="BR15" s="138" cm="1">
        <f t="array" ref="BR15:BR200">_xlfn.XLOOKUP(C:C,'26年实际销量'!A:A,'26年实际销量'!X:X)</f>
      </c>
      <c r="BS15" s="138">
        <v>758</v>
      </c>
      <c r="BT15" s="139">
        <f t="shared" si="33"/>
      </c>
      <c r="BU15" s="140">
        <f t="shared" si="20"/>
      </c>
      <c r="BV15" s="140">
        <f t="shared" si="13"/>
      </c>
      <c r="BW15" s="140" cm="1">
        <f t="array" ref="BW15:BW200">_xlfn.XLOOKUP(C:C,'基础销量预测-计划端'!C:C,'基础销量预测-计划端'!AG:AG)</f>
      </c>
      <c r="BX15" s="140">
        <f t="shared" si="34"/>
      </c>
      <c r="BY15" s="141">
        <f t="shared" si="21"/>
      </c>
      <c r="BZ15" s="141">
        <f t="shared" si="22"/>
      </c>
      <c r="CA15" s="141">
        <f t="shared" si="23"/>
      </c>
      <c r="CB15" s="141">
        <f t="shared" si="24"/>
      </c>
      <c r="CC15" s="141">
        <f t="shared" si="25"/>
      </c>
      <c r="CD15" s="141">
        <f t="shared" si="26"/>
      </c>
      <c r="CE15" s="142"/>
      <c r="CF15" s="142"/>
      <c r="CG15" s="142"/>
      <c r="CH15" s="142"/>
      <c r="CI15" s="142"/>
      <c r="CJ15" s="142"/>
      <c r="CK15" s="142"/>
      <c r="CL15" s="143">
        <f t="shared" si="14"/>
      </c>
      <c r="CM15" s="143">
        <f t="shared" si="15"/>
      </c>
      <c r="CN15" s="143">
        <f t="shared" si="16"/>
      </c>
      <c r="CO15" s="143">
        <f t="shared" si="17"/>
      </c>
      <c r="CP15" s="143">
        <f t="shared" si="18"/>
      </c>
      <c r="CQ15" s="143">
        <f t="shared" si="19"/>
      </c>
    </row>
    <row r="16">
      <c r="A16" s="142"/>
      <c r="B16" s="142"/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1"/>
      <c r="BZ16" s="141"/>
      <c r="CA16" s="141"/>
      <c r="CB16" s="141"/>
      <c r="CC16" s="141"/>
      <c r="CD16" s="141"/>
      <c r="CE16" s="142"/>
      <c r="CF16" s="142"/>
      <c r="CG16" s="142"/>
      <c r="CH16" s="142"/>
      <c r="CI16" s="142"/>
      <c r="CJ16" s="142"/>
      <c r="CK16" s="142"/>
      <c r="CL16" s="142"/>
      <c r="CM16" s="142"/>
      <c r="CN16" s="142"/>
      <c r="CO16" s="142"/>
      <c r="CP16" s="142"/>
      <c r="CQ16" s="142"/>
    </row>
    <row r="17">
      <c r="A17" s="142"/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BY17" s="141"/>
      <c r="BZ17" s="141"/>
      <c r="CA17" s="141"/>
      <c r="CB17" s="141"/>
      <c r="CC17" s="141"/>
      <c r="CD17" s="141"/>
      <c r="CE17" s="142"/>
      <c r="CF17" s="142"/>
      <c r="CG17" s="142"/>
      <c r="CH17" s="142"/>
      <c r="CI17" s="142"/>
      <c r="CJ17" s="142"/>
      <c r="CK17" s="142"/>
      <c r="CL17" s="142"/>
      <c r="CM17" s="142"/>
      <c r="CN17" s="142"/>
      <c r="CO17" s="142"/>
      <c r="CP17" s="142"/>
      <c r="CQ17" s="142"/>
    </row>
    <row r="18">
      <c r="A18" s="142"/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2"/>
      <c r="BO18" s="142"/>
      <c r="BP18" s="142"/>
      <c r="BQ18" s="142"/>
      <c r="BR18" s="142"/>
      <c r="BS18" s="142"/>
      <c r="BT18" s="142"/>
      <c r="BU18" s="142"/>
      <c r="BV18" s="142"/>
      <c r="BW18" s="142"/>
      <c r="BX18" s="142"/>
      <c r="BY18" s="141"/>
      <c r="BZ18" s="141"/>
      <c r="CA18" s="141"/>
      <c r="CB18" s="141"/>
      <c r="CC18" s="141"/>
      <c r="CD18" s="141"/>
      <c r="CE18" s="142"/>
      <c r="CF18" s="142"/>
      <c r="CG18" s="142"/>
      <c r="CH18" s="142"/>
      <c r="CI18" s="142"/>
      <c r="CJ18" s="142"/>
      <c r="CK18" s="142"/>
      <c r="CL18" s="142"/>
      <c r="CM18" s="142"/>
      <c r="CN18" s="142"/>
      <c r="CO18" s="142"/>
      <c r="CP18" s="142"/>
      <c r="CQ18" s="142"/>
    </row>
    <row r="19">
      <c r="A19" s="142"/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1"/>
      <c r="BZ19" s="141"/>
      <c r="CA19" s="141"/>
      <c r="CB19" s="141"/>
      <c r="CC19" s="141"/>
      <c r="CD19" s="141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</row>
    <row r="20">
      <c r="A20" s="142"/>
      <c r="B20" s="142"/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1"/>
      <c r="BZ20" s="141"/>
      <c r="CA20" s="141"/>
      <c r="CB20" s="141"/>
      <c r="CC20" s="141"/>
      <c r="CD20" s="141"/>
      <c r="CE20" s="142"/>
      <c r="CF20" s="142"/>
      <c r="CG20" s="142"/>
      <c r="CH20" s="142"/>
      <c r="CI20" s="142"/>
      <c r="CJ20" s="142"/>
      <c r="CK20" s="142"/>
      <c r="CL20" s="142"/>
      <c r="CM20" s="142"/>
      <c r="CN20" s="142"/>
      <c r="CO20" s="142"/>
      <c r="CP20" s="142"/>
      <c r="CQ20" s="142"/>
    </row>
    <row r="21">
      <c r="A21" s="142"/>
      <c r="B21" s="142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1"/>
      <c r="BZ21" s="141"/>
      <c r="CA21" s="141"/>
      <c r="CB21" s="141"/>
      <c r="CC21" s="141"/>
      <c r="CD21" s="141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</row>
    <row r="22">
      <c r="A22" s="142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1"/>
      <c r="BZ22" s="141"/>
      <c r="CA22" s="141"/>
      <c r="CB22" s="141"/>
      <c r="CC22" s="141"/>
      <c r="CD22" s="141"/>
      <c r="CE22" s="142"/>
      <c r="CF22" s="142"/>
      <c r="CG22" s="142"/>
      <c r="CH22" s="142"/>
      <c r="CI22" s="142"/>
      <c r="CJ22" s="142"/>
      <c r="CK22" s="142"/>
      <c r="CL22" s="142"/>
      <c r="CM22" s="142"/>
      <c r="CN22" s="142"/>
      <c r="CO22" s="142"/>
      <c r="CP22" s="142"/>
      <c r="CQ22" s="142"/>
    </row>
    <row r="23">
      <c r="A23" s="142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1"/>
      <c r="BZ23" s="141"/>
      <c r="CA23" s="141"/>
      <c r="CB23" s="141"/>
      <c r="CC23" s="141"/>
      <c r="CD23" s="141"/>
      <c r="CE23" s="142"/>
      <c r="CF23" s="142"/>
      <c r="CG23" s="142"/>
      <c r="CH23" s="142"/>
      <c r="CI23" s="142"/>
      <c r="CJ23" s="142"/>
      <c r="CK23" s="142"/>
      <c r="CL23" s="142"/>
      <c r="CM23" s="142"/>
      <c r="CN23" s="142"/>
      <c r="CO23" s="142"/>
      <c r="CP23" s="142"/>
      <c r="CQ23" s="142"/>
    </row>
    <row r="24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1"/>
      <c r="BZ24" s="141"/>
      <c r="CA24" s="141"/>
      <c r="CB24" s="141"/>
      <c r="CC24" s="141"/>
      <c r="CD24" s="141"/>
      <c r="CE24" s="142"/>
      <c r="CF24" s="142"/>
      <c r="CG24" s="142"/>
      <c r="CH24" s="142"/>
      <c r="CI24" s="142"/>
      <c r="CJ24" s="142"/>
      <c r="CK24" s="142"/>
      <c r="CL24" s="142"/>
      <c r="CM24" s="142"/>
      <c r="CN24" s="142"/>
      <c r="CO24" s="142"/>
      <c r="CP24" s="142"/>
      <c r="CQ24" s="142"/>
    </row>
    <row r="25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1"/>
      <c r="BZ25" s="141"/>
      <c r="CA25" s="141"/>
      <c r="CB25" s="141"/>
      <c r="CC25" s="141"/>
      <c r="CD25" s="141"/>
      <c r="CE25" s="142"/>
      <c r="CF25" s="142"/>
      <c r="CG25" s="142"/>
      <c r="CH25" s="142"/>
      <c r="CI25" s="142"/>
      <c r="CJ25" s="142"/>
      <c r="CK25" s="142"/>
      <c r="CL25" s="142"/>
      <c r="CM25" s="142"/>
      <c r="CN25" s="142"/>
      <c r="CO25" s="142"/>
      <c r="CP25" s="142"/>
      <c r="CQ25" s="142"/>
    </row>
    <row r="26">
      <c r="A26" s="142"/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1"/>
      <c r="BZ26" s="141"/>
      <c r="CA26" s="141"/>
      <c r="CB26" s="141"/>
      <c r="CC26" s="141"/>
      <c r="CD26" s="141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</row>
    <row r="27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1"/>
      <c r="BZ27" s="141"/>
      <c r="CA27" s="141"/>
      <c r="CB27" s="141"/>
      <c r="CC27" s="141"/>
      <c r="CD27" s="141"/>
      <c r="CE27" s="142"/>
      <c r="CF27" s="142"/>
      <c r="CG27" s="142"/>
      <c r="CH27" s="142"/>
      <c r="CI27" s="142"/>
      <c r="CJ27" s="142"/>
      <c r="CK27" s="142"/>
      <c r="CL27" s="142"/>
      <c r="CM27" s="142"/>
      <c r="CN27" s="142"/>
      <c r="CO27" s="142"/>
      <c r="CP27" s="142"/>
      <c r="CQ27" s="142"/>
    </row>
    <row r="28">
      <c r="A28" s="142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1"/>
      <c r="BZ28" s="141"/>
      <c r="CA28" s="141"/>
      <c r="CB28" s="141"/>
      <c r="CC28" s="141"/>
      <c r="CD28" s="141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</row>
    <row r="29">
      <c r="A29" s="142"/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1"/>
      <c r="BZ29" s="141"/>
      <c r="CA29" s="141"/>
      <c r="CB29" s="141"/>
      <c r="CC29" s="141"/>
      <c r="CD29" s="141"/>
      <c r="CE29" s="142"/>
      <c r="CF29" s="142"/>
      <c r="CG29" s="142"/>
      <c r="CH29" s="142"/>
      <c r="CI29" s="142"/>
      <c r="CJ29" s="142"/>
      <c r="CK29" s="142"/>
      <c r="CL29" s="142"/>
      <c r="CM29" s="142"/>
      <c r="CN29" s="142"/>
      <c r="CO29" s="142"/>
      <c r="CP29" s="142"/>
      <c r="CQ29" s="142"/>
    </row>
    <row r="30">
      <c r="A30" s="142"/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1"/>
      <c r="BZ30" s="141"/>
      <c r="CA30" s="141"/>
      <c r="CB30" s="141"/>
      <c r="CC30" s="141"/>
      <c r="CD30" s="141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</row>
    <row r="31">
      <c r="A31" s="142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1"/>
      <c r="BZ31" s="141"/>
      <c r="CA31" s="141"/>
      <c r="CB31" s="141"/>
      <c r="CC31" s="141"/>
      <c r="CD31" s="141"/>
      <c r="CE31" s="142"/>
      <c r="CF31" s="142"/>
      <c r="CG31" s="142"/>
      <c r="CH31" s="142"/>
      <c r="CI31" s="142"/>
      <c r="CJ31" s="142"/>
      <c r="CK31" s="142"/>
      <c r="CL31" s="142"/>
      <c r="CM31" s="142"/>
      <c r="CN31" s="142"/>
      <c r="CO31" s="142"/>
      <c r="CP31" s="142"/>
      <c r="CQ31" s="142"/>
    </row>
    <row r="32">
      <c r="A32" s="142"/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1"/>
      <c r="BZ32" s="141"/>
      <c r="CA32" s="141"/>
      <c r="CB32" s="141"/>
      <c r="CC32" s="141"/>
      <c r="CD32" s="141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</row>
    <row r="33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1"/>
      <c r="BZ33" s="141"/>
      <c r="CA33" s="141"/>
      <c r="CB33" s="141"/>
      <c r="CC33" s="141"/>
      <c r="CD33" s="141"/>
      <c r="CE33" s="142"/>
      <c r="CF33" s="142"/>
      <c r="CG33" s="142"/>
      <c r="CH33" s="142"/>
      <c r="CI33" s="142"/>
      <c r="CJ33" s="142"/>
      <c r="CK33" s="142"/>
      <c r="CL33" s="142"/>
      <c r="CM33" s="142"/>
      <c r="CN33" s="142"/>
      <c r="CO33" s="142"/>
      <c r="CP33" s="142"/>
      <c r="CQ33" s="142"/>
    </row>
    <row r="34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1"/>
      <c r="BZ34" s="141"/>
      <c r="CA34" s="141"/>
      <c r="CB34" s="141"/>
      <c r="CC34" s="141"/>
      <c r="CD34" s="141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</row>
    <row r="35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/>
      <c r="BU35" s="142"/>
      <c r="BV35" s="142"/>
      <c r="BW35" s="142"/>
      <c r="BX35" s="142"/>
      <c r="BY35" s="141"/>
      <c r="BZ35" s="141"/>
      <c r="CA35" s="141"/>
      <c r="CB35" s="141"/>
      <c r="CC35" s="141"/>
      <c r="CD35" s="141"/>
      <c r="CE35" s="142"/>
      <c r="CF35" s="142"/>
      <c r="CG35" s="142"/>
      <c r="CH35" s="142"/>
      <c r="CI35" s="142"/>
      <c r="CJ35" s="142"/>
      <c r="CK35" s="142"/>
      <c r="CL35" s="142"/>
      <c r="CM35" s="142"/>
      <c r="CN35" s="142"/>
      <c r="CO35" s="142"/>
      <c r="CP35" s="142"/>
      <c r="CQ35" s="142"/>
    </row>
    <row r="36">
      <c r="A36" s="142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1"/>
      <c r="BZ36" s="141"/>
      <c r="CA36" s="141"/>
      <c r="CB36" s="141"/>
      <c r="CC36" s="141"/>
      <c r="CD36" s="141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</row>
    <row r="37">
      <c r="A37" s="142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1"/>
      <c r="BZ37" s="141"/>
      <c r="CA37" s="141"/>
      <c r="CB37" s="141"/>
      <c r="CC37" s="141"/>
      <c r="CD37" s="141"/>
      <c r="CE37" s="142"/>
      <c r="CF37" s="142"/>
      <c r="CG37" s="142"/>
      <c r="CH37" s="142"/>
      <c r="CI37" s="142"/>
      <c r="CJ37" s="142"/>
      <c r="CK37" s="142"/>
      <c r="CL37" s="142"/>
      <c r="CM37" s="142"/>
      <c r="CN37" s="142"/>
      <c r="CO37" s="142"/>
      <c r="CP37" s="142"/>
      <c r="CQ37" s="142"/>
    </row>
    <row r="38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1"/>
      <c r="BZ38" s="141"/>
      <c r="CA38" s="141"/>
      <c r="CB38" s="141"/>
      <c r="CC38" s="141"/>
      <c r="CD38" s="141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</row>
    <row r="39">
      <c r="A39" s="142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1"/>
      <c r="BZ39" s="141"/>
      <c r="CA39" s="141"/>
      <c r="CB39" s="141"/>
      <c r="CC39" s="141"/>
      <c r="CD39" s="141"/>
      <c r="CE39" s="142"/>
      <c r="CF39" s="142"/>
      <c r="CG39" s="142"/>
      <c r="CH39" s="142"/>
      <c r="CI39" s="142"/>
      <c r="CJ39" s="142"/>
      <c r="CK39" s="142"/>
      <c r="CL39" s="142"/>
      <c r="CM39" s="142"/>
      <c r="CN39" s="142"/>
      <c r="CO39" s="142"/>
      <c r="CP39" s="142"/>
      <c r="CQ39" s="142"/>
    </row>
    <row r="40">
      <c r="A40" s="142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1"/>
      <c r="BZ40" s="141"/>
      <c r="CA40" s="141"/>
      <c r="CB40" s="141"/>
      <c r="CC40" s="141"/>
      <c r="CD40" s="141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</row>
    <row r="41">
      <c r="A41" s="142"/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42"/>
      <c r="BX41" s="142"/>
      <c r="BY41" s="141"/>
      <c r="BZ41" s="141"/>
      <c r="CA41" s="141"/>
      <c r="CB41" s="141"/>
      <c r="CC41" s="141"/>
      <c r="CD41" s="141"/>
      <c r="CE41" s="142"/>
      <c r="CF41" s="142"/>
      <c r="CG41" s="142"/>
      <c r="CH41" s="142"/>
      <c r="CI41" s="142"/>
      <c r="CJ41" s="142"/>
      <c r="CK41" s="142"/>
      <c r="CL41" s="142"/>
      <c r="CM41" s="142"/>
      <c r="CN41" s="142"/>
      <c r="CO41" s="142"/>
      <c r="CP41" s="142"/>
      <c r="CQ41" s="142"/>
    </row>
    <row r="42">
      <c r="A42" s="142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1"/>
      <c r="BZ42" s="141"/>
      <c r="CA42" s="141"/>
      <c r="CB42" s="141"/>
      <c r="CC42" s="141"/>
      <c r="CD42" s="141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</row>
    <row r="43">
      <c r="A43" s="142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/>
      <c r="BU43" s="142"/>
      <c r="BV43" s="142"/>
      <c r="BW43" s="142"/>
      <c r="BX43" s="142"/>
      <c r="BY43" s="141"/>
      <c r="BZ43" s="141"/>
      <c r="CA43" s="141"/>
      <c r="CB43" s="141"/>
      <c r="CC43" s="141"/>
      <c r="CD43" s="141"/>
      <c r="CE43" s="142"/>
      <c r="CF43" s="142"/>
      <c r="CG43" s="142"/>
      <c r="CH43" s="142"/>
      <c r="CI43" s="142"/>
      <c r="CJ43" s="142"/>
      <c r="CK43" s="142"/>
      <c r="CL43" s="142"/>
      <c r="CM43" s="142"/>
      <c r="CN43" s="142"/>
      <c r="CO43" s="142"/>
      <c r="CP43" s="142"/>
      <c r="CQ43" s="142"/>
    </row>
    <row r="44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1"/>
      <c r="BZ44" s="141"/>
      <c r="CA44" s="141"/>
      <c r="CB44" s="141"/>
      <c r="CC44" s="141"/>
      <c r="CD44" s="141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</row>
    <row r="45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/>
      <c r="BU45" s="142"/>
      <c r="BV45" s="142"/>
      <c r="BW45" s="142"/>
      <c r="BX45" s="142"/>
      <c r="BY45" s="141"/>
      <c r="BZ45" s="141"/>
      <c r="CA45" s="141"/>
      <c r="CB45" s="141"/>
      <c r="CC45" s="141"/>
      <c r="CD45" s="141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</row>
    <row r="46">
      <c r="A46" s="142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1"/>
      <c r="BZ46" s="141"/>
      <c r="CA46" s="141"/>
      <c r="CB46" s="141"/>
      <c r="CC46" s="141"/>
      <c r="CD46" s="141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</row>
    <row r="47">
      <c r="A47" s="142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/>
      <c r="BU47" s="142"/>
      <c r="BV47" s="142"/>
      <c r="BW47" s="142"/>
      <c r="BX47" s="142"/>
      <c r="BY47" s="141"/>
      <c r="BZ47" s="141"/>
      <c r="CA47" s="141"/>
      <c r="CB47" s="141"/>
      <c r="CC47" s="141"/>
      <c r="CD47" s="141"/>
      <c r="CE47" s="142"/>
      <c r="CF47" s="142"/>
      <c r="CG47" s="142"/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</row>
    <row r="48">
      <c r="A48" s="142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1"/>
      <c r="BZ48" s="141"/>
      <c r="CA48" s="141"/>
      <c r="CB48" s="141"/>
      <c r="CC48" s="141"/>
      <c r="CD48" s="141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</row>
    <row r="49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1"/>
      <c r="BZ49" s="141"/>
      <c r="CA49" s="141"/>
      <c r="CB49" s="141"/>
      <c r="CC49" s="141"/>
      <c r="CD49" s="141"/>
      <c r="CE49" s="142"/>
      <c r="CF49" s="142"/>
      <c r="CG49" s="142"/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</row>
    <row r="50">
      <c r="A50" s="142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1"/>
      <c r="BZ50" s="141"/>
      <c r="CA50" s="141"/>
      <c r="CB50" s="141"/>
      <c r="CC50" s="141"/>
      <c r="CD50" s="141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</row>
    <row r="51">
      <c r="A51" s="142"/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1"/>
      <c r="BZ51" s="141"/>
      <c r="CA51" s="141"/>
      <c r="CB51" s="141"/>
      <c r="CC51" s="141"/>
      <c r="CD51" s="141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</row>
    <row r="52">
      <c r="A52" s="142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1"/>
      <c r="BZ52" s="141"/>
      <c r="CA52" s="141"/>
      <c r="CB52" s="141"/>
      <c r="CC52" s="141"/>
      <c r="CD52" s="141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</row>
    <row r="53">
      <c r="A53" s="142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/>
      <c r="BU53" s="142"/>
      <c r="BV53" s="142"/>
      <c r="BW53" s="142"/>
      <c r="BX53" s="142"/>
      <c r="BY53" s="141"/>
      <c r="BZ53" s="141"/>
      <c r="CA53" s="141"/>
      <c r="CB53" s="141"/>
      <c r="CC53" s="141"/>
      <c r="CD53" s="141"/>
      <c r="CE53" s="142"/>
      <c r="CF53" s="142"/>
      <c r="CG53" s="142"/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</row>
    <row r="54">
      <c r="A54" s="142"/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1"/>
      <c r="BZ54" s="141"/>
      <c r="CA54" s="141"/>
      <c r="CB54" s="141"/>
      <c r="CC54" s="141"/>
      <c r="CD54" s="141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</row>
    <row r="55">
      <c r="A55" s="142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142"/>
      <c r="BI55" s="142"/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/>
      <c r="BU55" s="142"/>
      <c r="BV55" s="142"/>
      <c r="BW55" s="142"/>
      <c r="BX55" s="142"/>
      <c r="BY55" s="141"/>
      <c r="BZ55" s="141"/>
      <c r="CA55" s="141"/>
      <c r="CB55" s="141"/>
      <c r="CC55" s="141"/>
      <c r="CD55" s="141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</row>
    <row r="56">
      <c r="A56" s="142"/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1"/>
      <c r="BZ56" s="141"/>
      <c r="CA56" s="141"/>
      <c r="CB56" s="141"/>
      <c r="CC56" s="141"/>
      <c r="CD56" s="141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</row>
    <row r="57">
      <c r="A57" s="142"/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142"/>
      <c r="BI57" s="142"/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/>
      <c r="BU57" s="142"/>
      <c r="BV57" s="142"/>
      <c r="BW57" s="142"/>
      <c r="BX57" s="142"/>
      <c r="BY57" s="141"/>
      <c r="BZ57" s="141"/>
      <c r="CA57" s="141"/>
      <c r="CB57" s="141"/>
      <c r="CC57" s="141"/>
      <c r="CD57" s="141"/>
      <c r="CE57" s="142"/>
      <c r="CF57" s="142"/>
      <c r="CG57" s="142"/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</row>
    <row r="58">
      <c r="A58" s="142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1"/>
      <c r="BZ58" s="141"/>
      <c r="CA58" s="141"/>
      <c r="CB58" s="141"/>
      <c r="CC58" s="141"/>
      <c r="CD58" s="141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</row>
    <row r="59">
      <c r="A59" s="142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142"/>
      <c r="BI59" s="142"/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/>
      <c r="BU59" s="142"/>
      <c r="BV59" s="142"/>
      <c r="BW59" s="142"/>
      <c r="BX59" s="142"/>
      <c r="BY59" s="141"/>
      <c r="BZ59" s="141"/>
      <c r="CA59" s="141"/>
      <c r="CB59" s="141"/>
      <c r="CC59" s="141"/>
      <c r="CD59" s="141"/>
      <c r="CE59" s="142"/>
      <c r="CF59" s="142"/>
      <c r="CG59" s="142"/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</row>
    <row r="60">
      <c r="A60" s="142"/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1"/>
      <c r="BZ60" s="141"/>
      <c r="CA60" s="141"/>
      <c r="CB60" s="141"/>
      <c r="CC60" s="141"/>
      <c r="CD60" s="141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</row>
    <row r="61">
      <c r="A61" s="142"/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  <c r="AF61" s="142"/>
      <c r="AG61" s="142"/>
      <c r="AH61" s="142"/>
      <c r="AI61" s="142"/>
      <c r="AJ61" s="142"/>
      <c r="AK61" s="142"/>
      <c r="AL61" s="142"/>
      <c r="AM61" s="142"/>
      <c r="AN61" s="142"/>
      <c r="AO61" s="142"/>
      <c r="AP61" s="142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142"/>
      <c r="BI61" s="142"/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/>
      <c r="BU61" s="142"/>
      <c r="BV61" s="142"/>
      <c r="BW61" s="142"/>
      <c r="BX61" s="142"/>
      <c r="BY61" s="141"/>
      <c r="BZ61" s="141"/>
      <c r="CA61" s="141"/>
      <c r="CB61" s="141"/>
      <c r="CC61" s="141"/>
      <c r="CD61" s="141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</row>
    <row r="62">
      <c r="A62" s="142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1"/>
      <c r="BZ62" s="141"/>
      <c r="CA62" s="141"/>
      <c r="CB62" s="141"/>
      <c r="CC62" s="141"/>
      <c r="CD62" s="141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</row>
    <row r="63">
      <c r="A63" s="142"/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  <c r="AB63" s="142"/>
      <c r="AC63" s="142"/>
      <c r="AD63" s="142"/>
      <c r="AE63" s="142"/>
      <c r="AF63" s="142"/>
      <c r="AG63" s="142"/>
      <c r="AH63" s="142"/>
      <c r="AI63" s="142"/>
      <c r="AJ63" s="142"/>
      <c r="AK63" s="142"/>
      <c r="AL63" s="142"/>
      <c r="AM63" s="142"/>
      <c r="AN63" s="142"/>
      <c r="AO63" s="142"/>
      <c r="AP63" s="142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142"/>
      <c r="BI63" s="142"/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/>
      <c r="BU63" s="142"/>
      <c r="BV63" s="142"/>
      <c r="BW63" s="142"/>
      <c r="BX63" s="142"/>
      <c r="BY63" s="141"/>
      <c r="BZ63" s="141"/>
      <c r="CA63" s="141"/>
      <c r="CB63" s="141"/>
      <c r="CC63" s="141"/>
      <c r="CD63" s="141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</row>
    <row r="64">
      <c r="A64" s="142"/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  <c r="AA64" s="142"/>
      <c r="AB64" s="142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1"/>
      <c r="BZ64" s="141"/>
      <c r="CA64" s="141"/>
      <c r="CB64" s="141"/>
      <c r="CC64" s="141"/>
      <c r="CD64" s="141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</row>
    <row r="65">
      <c r="A65" s="142"/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  <c r="AA65" s="142"/>
      <c r="AB65" s="142"/>
      <c r="AC65" s="142"/>
      <c r="AD65" s="142"/>
      <c r="AE65" s="142"/>
      <c r="AF65" s="142"/>
      <c r="AG65" s="142"/>
      <c r="AH65" s="142"/>
      <c r="AI65" s="142"/>
      <c r="AJ65" s="142"/>
      <c r="AK65" s="142"/>
      <c r="AL65" s="142"/>
      <c r="AM65" s="142"/>
      <c r="AN65" s="142"/>
      <c r="AO65" s="142"/>
      <c r="AP65" s="142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142"/>
      <c r="BI65" s="142"/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V65" s="142"/>
      <c r="BW65" s="142"/>
      <c r="BX65" s="142"/>
      <c r="BY65" s="141"/>
      <c r="BZ65" s="141"/>
      <c r="CA65" s="141"/>
      <c r="CB65" s="141"/>
      <c r="CC65" s="141"/>
      <c r="CD65" s="141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</row>
    <row r="66">
      <c r="A66" s="142"/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  <c r="AB66" s="142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1"/>
      <c r="BZ66" s="141"/>
      <c r="CA66" s="141"/>
      <c r="CB66" s="141"/>
      <c r="CC66" s="141"/>
      <c r="CD66" s="141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</row>
    <row r="67">
      <c r="A67" s="142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2"/>
      <c r="BP67" s="142"/>
      <c r="BQ67" s="142"/>
      <c r="BR67" s="142"/>
      <c r="BS67" s="142"/>
      <c r="BT67" s="142"/>
      <c r="BU67" s="142"/>
      <c r="BV67" s="142"/>
      <c r="BW67" s="142"/>
      <c r="BX67" s="142"/>
      <c r="BY67" s="141"/>
      <c r="BZ67" s="141"/>
      <c r="CA67" s="141"/>
      <c r="CB67" s="141"/>
      <c r="CC67" s="141"/>
      <c r="CD67" s="141"/>
      <c r="CE67" s="142"/>
      <c r="CF67" s="142"/>
      <c r="CG67" s="142"/>
      <c r="CH67" s="142"/>
      <c r="CI67" s="142"/>
      <c r="CJ67" s="142"/>
      <c r="CK67" s="142"/>
      <c r="CL67" s="142"/>
      <c r="CM67" s="142"/>
      <c r="CN67" s="142"/>
      <c r="CO67" s="142"/>
      <c r="CP67" s="142"/>
      <c r="CQ67" s="142"/>
    </row>
    <row r="68">
      <c r="A68" s="142"/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2"/>
      <c r="AU68" s="142"/>
      <c r="AV68" s="142"/>
      <c r="AW68" s="142"/>
      <c r="AX68" s="142"/>
      <c r="AY68" s="142"/>
      <c r="AZ68" s="142"/>
      <c r="BA68" s="142"/>
      <c r="BB68" s="142"/>
      <c r="BC68" s="142"/>
      <c r="BD68" s="142"/>
      <c r="BE68" s="142"/>
      <c r="BF68" s="142"/>
      <c r="BG68" s="142"/>
      <c r="BH68" s="142"/>
      <c r="BI68" s="142"/>
      <c r="BJ68" s="142"/>
      <c r="BK68" s="142"/>
      <c r="BL68" s="142"/>
      <c r="BM68" s="142"/>
      <c r="BN68" s="142"/>
      <c r="BO68" s="142"/>
      <c r="BP68" s="142"/>
      <c r="BQ68" s="142"/>
      <c r="BR68" s="142"/>
      <c r="BS68" s="142"/>
      <c r="BT68" s="142"/>
      <c r="BU68" s="142"/>
      <c r="BV68" s="142"/>
      <c r="BW68" s="142"/>
      <c r="BX68" s="142"/>
      <c r="BY68" s="141"/>
      <c r="BZ68" s="141"/>
      <c r="CA68" s="141"/>
      <c r="CB68" s="141"/>
      <c r="CC68" s="141"/>
      <c r="CD68" s="141"/>
      <c r="CE68" s="142"/>
      <c r="CF68" s="142"/>
      <c r="CG68" s="142"/>
      <c r="CH68" s="142"/>
      <c r="CI68" s="142"/>
      <c r="CJ68" s="142"/>
      <c r="CK68" s="142"/>
      <c r="CL68" s="142"/>
      <c r="CM68" s="142"/>
      <c r="CN68" s="142"/>
      <c r="CO68" s="142"/>
      <c r="CP68" s="142"/>
      <c r="CQ68" s="142"/>
    </row>
    <row r="69">
      <c r="A69" s="142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42"/>
      <c r="AU69" s="142"/>
      <c r="AV69" s="142"/>
      <c r="AW69" s="142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142"/>
      <c r="BI69" s="142"/>
      <c r="BJ69" s="142"/>
      <c r="BK69" s="142"/>
      <c r="BL69" s="142"/>
      <c r="BM69" s="142"/>
      <c r="BN69" s="142"/>
      <c r="BO69" s="142"/>
      <c r="BP69" s="142"/>
      <c r="BQ69" s="142"/>
      <c r="BR69" s="142"/>
      <c r="BS69" s="142"/>
      <c r="BT69" s="142"/>
      <c r="BU69" s="142"/>
      <c r="BV69" s="142"/>
      <c r="BW69" s="142"/>
      <c r="BX69" s="142"/>
      <c r="BY69" s="141"/>
      <c r="BZ69" s="141"/>
      <c r="CA69" s="141"/>
      <c r="CB69" s="141"/>
      <c r="CC69" s="141"/>
      <c r="CD69" s="141"/>
      <c r="CE69" s="142"/>
      <c r="CF69" s="142"/>
      <c r="CG69" s="142"/>
      <c r="CH69" s="142"/>
      <c r="CI69" s="142"/>
      <c r="CJ69" s="142"/>
      <c r="CK69" s="142"/>
      <c r="CL69" s="142"/>
      <c r="CM69" s="142"/>
      <c r="CN69" s="142"/>
      <c r="CO69" s="142"/>
      <c r="CP69" s="142"/>
      <c r="CQ69" s="142"/>
    </row>
    <row r="70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42"/>
      <c r="AU70" s="142"/>
      <c r="AV70" s="142"/>
      <c r="AW70" s="142"/>
      <c r="AX70" s="142"/>
      <c r="AY70" s="142"/>
      <c r="AZ70" s="142"/>
      <c r="BA70" s="142"/>
      <c r="BB70" s="142"/>
      <c r="BC70" s="142"/>
      <c r="BD70" s="142"/>
      <c r="BE70" s="142"/>
      <c r="BF70" s="142"/>
      <c r="BG70" s="142"/>
      <c r="BH70" s="142"/>
      <c r="BI70" s="142"/>
      <c r="BJ70" s="142"/>
      <c r="BK70" s="142"/>
      <c r="BL70" s="142"/>
      <c r="BM70" s="142"/>
      <c r="BN70" s="142"/>
      <c r="BO70" s="142"/>
      <c r="BP70" s="142"/>
      <c r="BQ70" s="142"/>
      <c r="BR70" s="142"/>
      <c r="BS70" s="142"/>
      <c r="BT70" s="142"/>
      <c r="BU70" s="142"/>
      <c r="BV70" s="142"/>
      <c r="BW70" s="142"/>
      <c r="BX70" s="142"/>
      <c r="BY70" s="141"/>
      <c r="BZ70" s="141"/>
      <c r="CA70" s="141"/>
      <c r="CB70" s="141"/>
      <c r="CC70" s="141"/>
      <c r="CD70" s="141"/>
      <c r="CE70" s="142"/>
      <c r="CF70" s="142"/>
      <c r="CG70" s="142"/>
      <c r="CH70" s="142"/>
      <c r="CI70" s="142"/>
      <c r="CJ70" s="142"/>
      <c r="CK70" s="142"/>
      <c r="CL70" s="142"/>
      <c r="CM70" s="142"/>
      <c r="CN70" s="142"/>
      <c r="CO70" s="142"/>
      <c r="CP70" s="142"/>
      <c r="CQ70" s="142"/>
    </row>
    <row r="71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42"/>
      <c r="AU71" s="142"/>
      <c r="AV71" s="142"/>
      <c r="AW71" s="142"/>
      <c r="AX71" s="142"/>
      <c r="AY71" s="142"/>
      <c r="AZ71" s="142"/>
      <c r="BA71" s="142"/>
      <c r="BB71" s="142"/>
      <c r="BC71" s="142"/>
      <c r="BD71" s="142"/>
      <c r="BE71" s="142"/>
      <c r="BF71" s="142"/>
      <c r="BG71" s="142"/>
      <c r="BH71" s="142"/>
      <c r="BI71" s="142"/>
      <c r="BJ71" s="142"/>
      <c r="BK71" s="142"/>
      <c r="BL71" s="142"/>
      <c r="BM71" s="142"/>
      <c r="BN71" s="142"/>
      <c r="BO71" s="142"/>
      <c r="BP71" s="142"/>
      <c r="BQ71" s="142"/>
      <c r="BR71" s="142"/>
      <c r="BS71" s="142"/>
      <c r="BT71" s="142"/>
      <c r="BU71" s="142"/>
      <c r="BV71" s="142"/>
      <c r="BW71" s="142"/>
      <c r="BX71" s="142"/>
      <c r="BY71" s="141"/>
      <c r="BZ71" s="141"/>
      <c r="CA71" s="141"/>
      <c r="CB71" s="141"/>
      <c r="CC71" s="141"/>
      <c r="CD71" s="141"/>
      <c r="CE71" s="142"/>
      <c r="CF71" s="142"/>
      <c r="CG71" s="142"/>
      <c r="CH71" s="142"/>
      <c r="CI71" s="142"/>
      <c r="CJ71" s="142"/>
      <c r="CK71" s="142"/>
      <c r="CL71" s="142"/>
      <c r="CM71" s="142"/>
      <c r="CN71" s="142"/>
      <c r="CO71" s="142"/>
      <c r="CP71" s="142"/>
      <c r="CQ71" s="142"/>
    </row>
    <row r="72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  <c r="AT72" s="142"/>
      <c r="AU72" s="142"/>
      <c r="AV72" s="142"/>
      <c r="AW72" s="142"/>
      <c r="AX72" s="142"/>
      <c r="AY72" s="142"/>
      <c r="AZ72" s="142"/>
      <c r="BA72" s="142"/>
      <c r="BB72" s="142"/>
      <c r="BC72" s="142"/>
      <c r="BD72" s="142"/>
      <c r="BE72" s="142"/>
      <c r="BF72" s="142"/>
      <c r="BG72" s="142"/>
      <c r="BH72" s="142"/>
      <c r="BI72" s="142"/>
      <c r="BJ72" s="142"/>
      <c r="BK72" s="142"/>
      <c r="BL72" s="142"/>
      <c r="BM72" s="142"/>
      <c r="BN72" s="142"/>
      <c r="BO72" s="142"/>
      <c r="BP72" s="142"/>
      <c r="BQ72" s="142"/>
      <c r="BR72" s="142"/>
      <c r="BS72" s="142"/>
      <c r="BT72" s="142"/>
      <c r="BU72" s="142"/>
      <c r="BV72" s="142"/>
      <c r="BW72" s="142"/>
      <c r="BX72" s="142"/>
      <c r="BY72" s="141"/>
      <c r="BZ72" s="141"/>
      <c r="CA72" s="141"/>
      <c r="CB72" s="141"/>
      <c r="CC72" s="141"/>
      <c r="CD72" s="141"/>
      <c r="CE72" s="142"/>
      <c r="CF72" s="142"/>
      <c r="CG72" s="142"/>
      <c r="CH72" s="142"/>
      <c r="CI72" s="142"/>
      <c r="CJ72" s="142"/>
      <c r="CK72" s="142"/>
      <c r="CL72" s="142"/>
      <c r="CM72" s="142"/>
      <c r="CN72" s="142"/>
      <c r="CO72" s="142"/>
      <c r="CP72" s="142"/>
      <c r="CQ72" s="142"/>
    </row>
    <row r="73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  <c r="AA73" s="142"/>
      <c r="AB73" s="142"/>
      <c r="AC73" s="142"/>
      <c r="AD73" s="142"/>
      <c r="AE73" s="142"/>
      <c r="AF73" s="142"/>
      <c r="AG73" s="142"/>
      <c r="AH73" s="142"/>
      <c r="AI73" s="142"/>
      <c r="AJ73" s="142"/>
      <c r="AK73" s="142"/>
      <c r="AL73" s="142"/>
      <c r="AM73" s="142"/>
      <c r="AN73" s="142"/>
      <c r="AO73" s="142"/>
      <c r="AP73" s="142"/>
      <c r="AQ73" s="142"/>
      <c r="AR73" s="142"/>
      <c r="AS73" s="142"/>
      <c r="AT73" s="142"/>
      <c r="AU73" s="142"/>
      <c r="AV73" s="142"/>
      <c r="AW73" s="142"/>
      <c r="AX73" s="142"/>
      <c r="AY73" s="142"/>
      <c r="AZ73" s="142"/>
      <c r="BA73" s="142"/>
      <c r="BB73" s="142"/>
      <c r="BC73" s="142"/>
      <c r="BD73" s="142"/>
      <c r="BE73" s="142"/>
      <c r="BF73" s="142"/>
      <c r="BG73" s="142"/>
      <c r="BH73" s="142"/>
      <c r="BI73" s="142"/>
      <c r="BJ73" s="142"/>
      <c r="BK73" s="142"/>
      <c r="BL73" s="142"/>
      <c r="BM73" s="142"/>
      <c r="BN73" s="142"/>
      <c r="BO73" s="142"/>
      <c r="BP73" s="142"/>
      <c r="BQ73" s="142"/>
      <c r="BR73" s="142"/>
      <c r="BS73" s="142"/>
      <c r="BT73" s="142"/>
      <c r="BU73" s="142"/>
      <c r="BV73" s="142"/>
      <c r="BW73" s="142"/>
      <c r="BX73" s="142"/>
      <c r="BY73" s="141"/>
      <c r="BZ73" s="141"/>
      <c r="CA73" s="141"/>
      <c r="CB73" s="141"/>
      <c r="CC73" s="141"/>
      <c r="CD73" s="141"/>
      <c r="CE73" s="142"/>
      <c r="CF73" s="142"/>
      <c r="CG73" s="142"/>
      <c r="CH73" s="142"/>
      <c r="CI73" s="142"/>
      <c r="CJ73" s="142"/>
      <c r="CK73" s="142"/>
      <c r="CL73" s="142"/>
      <c r="CM73" s="142"/>
      <c r="CN73" s="142"/>
      <c r="CO73" s="142"/>
      <c r="CP73" s="142"/>
      <c r="CQ73" s="142"/>
    </row>
    <row r="74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2"/>
      <c r="AO74" s="142"/>
      <c r="AP74" s="142"/>
      <c r="AQ74" s="142"/>
      <c r="AR74" s="142"/>
      <c r="AS74" s="142"/>
      <c r="AT74" s="142"/>
      <c r="AU74" s="142"/>
      <c r="AV74" s="142"/>
      <c r="AW74" s="142"/>
      <c r="AX74" s="142"/>
      <c r="AY74" s="142"/>
      <c r="AZ74" s="142"/>
      <c r="BA74" s="142"/>
      <c r="BB74" s="142"/>
      <c r="BC74" s="142"/>
      <c r="BD74" s="142"/>
      <c r="BE74" s="142"/>
      <c r="BF74" s="142"/>
      <c r="BG74" s="142"/>
      <c r="BH74" s="142"/>
      <c r="BI74" s="142"/>
      <c r="BJ74" s="142"/>
      <c r="BK74" s="142"/>
      <c r="BL74" s="142"/>
      <c r="BM74" s="142"/>
      <c r="BN74" s="142"/>
      <c r="BO74" s="142"/>
      <c r="BP74" s="142"/>
      <c r="BQ74" s="142"/>
      <c r="BR74" s="142"/>
      <c r="BS74" s="142"/>
      <c r="BT74" s="142"/>
      <c r="BU74" s="142"/>
      <c r="BV74" s="142"/>
      <c r="BW74" s="142"/>
      <c r="BX74" s="142"/>
      <c r="BY74" s="141"/>
      <c r="BZ74" s="141"/>
      <c r="CA74" s="141"/>
      <c r="CB74" s="141"/>
      <c r="CC74" s="141"/>
      <c r="CD74" s="141"/>
      <c r="CE74" s="142"/>
      <c r="CF74" s="142"/>
      <c r="CG74" s="142"/>
      <c r="CH74" s="142"/>
      <c r="CI74" s="142"/>
      <c r="CJ74" s="142"/>
      <c r="CK74" s="142"/>
      <c r="CL74" s="142"/>
      <c r="CM74" s="142"/>
      <c r="CN74" s="142"/>
      <c r="CO74" s="142"/>
      <c r="CP74" s="142"/>
      <c r="CQ74" s="142"/>
    </row>
    <row r="75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2"/>
      <c r="AO75" s="142"/>
      <c r="AP75" s="142"/>
      <c r="AQ75" s="142"/>
      <c r="AR75" s="142"/>
      <c r="AS75" s="142"/>
      <c r="AT75" s="142"/>
      <c r="AU75" s="142"/>
      <c r="AV75" s="142"/>
      <c r="AW75" s="142"/>
      <c r="AX75" s="142"/>
      <c r="AY75" s="142"/>
      <c r="AZ75" s="142"/>
      <c r="BA75" s="142"/>
      <c r="BB75" s="142"/>
      <c r="BC75" s="142"/>
      <c r="BD75" s="142"/>
      <c r="BE75" s="142"/>
      <c r="BF75" s="142"/>
      <c r="BG75" s="142"/>
      <c r="BH75" s="142"/>
      <c r="BI75" s="142"/>
      <c r="BJ75" s="142"/>
      <c r="BK75" s="142"/>
      <c r="BL75" s="142"/>
      <c r="BM75" s="142"/>
      <c r="BN75" s="142"/>
      <c r="BO75" s="142"/>
      <c r="BP75" s="142"/>
      <c r="BQ75" s="142"/>
      <c r="BR75" s="142"/>
      <c r="BS75" s="142"/>
      <c r="BT75" s="142"/>
      <c r="BU75" s="142"/>
      <c r="BV75" s="142"/>
      <c r="BW75" s="142"/>
      <c r="BX75" s="142"/>
      <c r="BY75" s="141"/>
      <c r="BZ75" s="141"/>
      <c r="CA75" s="141"/>
      <c r="CB75" s="141"/>
      <c r="CC75" s="141"/>
      <c r="CD75" s="141"/>
      <c r="CE75" s="142"/>
      <c r="CF75" s="142"/>
      <c r="CG75" s="142"/>
      <c r="CH75" s="142"/>
      <c r="CI75" s="142"/>
      <c r="CJ75" s="142"/>
      <c r="CK75" s="142"/>
      <c r="CL75" s="142"/>
      <c r="CM75" s="142"/>
      <c r="CN75" s="142"/>
      <c r="CO75" s="142"/>
      <c r="CP75" s="142"/>
      <c r="CQ75" s="142"/>
    </row>
    <row r="76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  <c r="AK76" s="142"/>
      <c r="AL76" s="142"/>
      <c r="AM76" s="142"/>
      <c r="AN76" s="142"/>
      <c r="AO76" s="142"/>
      <c r="AP76" s="142"/>
      <c r="AQ76" s="142"/>
      <c r="AR76" s="142"/>
      <c r="AS76" s="142"/>
      <c r="AT76" s="142"/>
      <c r="AU76" s="142"/>
      <c r="AV76" s="142"/>
      <c r="AW76" s="142"/>
      <c r="AX76" s="142"/>
      <c r="AY76" s="142"/>
      <c r="AZ76" s="142"/>
      <c r="BA76" s="142"/>
      <c r="BB76" s="142"/>
      <c r="BC76" s="142"/>
      <c r="BD76" s="142"/>
      <c r="BE76" s="142"/>
      <c r="BF76" s="142"/>
      <c r="BG76" s="142"/>
      <c r="BH76" s="142"/>
      <c r="BI76" s="142"/>
      <c r="BJ76" s="142"/>
      <c r="BK76" s="142"/>
      <c r="BL76" s="142"/>
      <c r="BM76" s="142"/>
      <c r="BN76" s="142"/>
      <c r="BO76" s="142"/>
      <c r="BP76" s="142"/>
      <c r="BQ76" s="142"/>
      <c r="BR76" s="142"/>
      <c r="BS76" s="142"/>
      <c r="BT76" s="142"/>
      <c r="BU76" s="142"/>
      <c r="BV76" s="142"/>
      <c r="BW76" s="142"/>
      <c r="BX76" s="142"/>
      <c r="BY76" s="141"/>
      <c r="BZ76" s="141"/>
      <c r="CA76" s="141"/>
      <c r="CB76" s="141"/>
      <c r="CC76" s="141"/>
      <c r="CD76" s="141"/>
      <c r="CE76" s="142"/>
      <c r="CF76" s="142"/>
      <c r="CG76" s="142"/>
      <c r="CH76" s="142"/>
      <c r="CI76" s="142"/>
      <c r="CJ76" s="142"/>
      <c r="CK76" s="142"/>
      <c r="CL76" s="142"/>
      <c r="CM76" s="142"/>
      <c r="CN76" s="142"/>
      <c r="CO76" s="142"/>
      <c r="CP76" s="142"/>
      <c r="CQ76" s="142"/>
    </row>
    <row r="77">
      <c r="A77" s="142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  <c r="AA77" s="142"/>
      <c r="AB77" s="142"/>
      <c r="AC77" s="142"/>
      <c r="AD77" s="142"/>
      <c r="AE77" s="142"/>
      <c r="AF77" s="142"/>
      <c r="AG77" s="142"/>
      <c r="AH77" s="142"/>
      <c r="AI77" s="142"/>
      <c r="AJ77" s="142"/>
      <c r="AK77" s="142"/>
      <c r="AL77" s="142"/>
      <c r="AM77" s="142"/>
      <c r="AN77" s="142"/>
      <c r="AO77" s="142"/>
      <c r="AP77" s="142"/>
      <c r="AQ77" s="142"/>
      <c r="AR77" s="142"/>
      <c r="AS77" s="142"/>
      <c r="AT77" s="142"/>
      <c r="AU77" s="142"/>
      <c r="AV77" s="142"/>
      <c r="AW77" s="142"/>
      <c r="AX77" s="142"/>
      <c r="AY77" s="142"/>
      <c r="AZ77" s="142"/>
      <c r="BA77" s="142"/>
      <c r="BB77" s="142"/>
      <c r="BC77" s="142"/>
      <c r="BD77" s="142"/>
      <c r="BE77" s="142"/>
      <c r="BF77" s="142"/>
      <c r="BG77" s="142"/>
      <c r="BH77" s="142"/>
      <c r="BI77" s="142"/>
      <c r="BJ77" s="142"/>
      <c r="BK77" s="142"/>
      <c r="BL77" s="142"/>
      <c r="BM77" s="142"/>
      <c r="BN77" s="142"/>
      <c r="BO77" s="142"/>
      <c r="BP77" s="142"/>
      <c r="BQ77" s="142"/>
      <c r="BR77" s="142"/>
      <c r="BS77" s="142"/>
      <c r="BT77" s="142"/>
      <c r="BU77" s="142"/>
      <c r="BV77" s="142"/>
      <c r="BW77" s="142"/>
      <c r="BX77" s="142"/>
      <c r="BY77" s="141"/>
      <c r="BZ77" s="141"/>
      <c r="CA77" s="141"/>
      <c r="CB77" s="141"/>
      <c r="CC77" s="141"/>
      <c r="CD77" s="141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</row>
    <row r="78">
      <c r="A78" s="142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  <c r="AA78" s="142"/>
      <c r="AB78" s="142"/>
      <c r="AC78" s="142"/>
      <c r="AD78" s="142"/>
      <c r="AE78" s="142"/>
      <c r="AF78" s="142"/>
      <c r="AG78" s="142"/>
      <c r="AH78" s="142"/>
      <c r="AI78" s="142"/>
      <c r="AJ78" s="142"/>
      <c r="AK78" s="142"/>
      <c r="AL78" s="142"/>
      <c r="AM78" s="142"/>
      <c r="AN78" s="142"/>
      <c r="AO78" s="142"/>
      <c r="AP78" s="142"/>
      <c r="AQ78" s="142"/>
      <c r="AR78" s="142"/>
      <c r="AS78" s="142"/>
      <c r="AT78" s="142"/>
      <c r="AU78" s="142"/>
      <c r="AV78" s="142"/>
      <c r="AW78" s="142"/>
      <c r="AX78" s="142"/>
      <c r="AY78" s="142"/>
      <c r="AZ78" s="142"/>
      <c r="BA78" s="142"/>
      <c r="BB78" s="142"/>
      <c r="BC78" s="142"/>
      <c r="BD78" s="142"/>
      <c r="BE78" s="142"/>
      <c r="BF78" s="142"/>
      <c r="BG78" s="142"/>
      <c r="BH78" s="142"/>
      <c r="BI78" s="142"/>
      <c r="BJ78" s="142"/>
      <c r="BK78" s="142"/>
      <c r="BL78" s="142"/>
      <c r="BM78" s="142"/>
      <c r="BN78" s="142"/>
      <c r="BO78" s="142"/>
      <c r="BP78" s="142"/>
      <c r="BQ78" s="142"/>
      <c r="BR78" s="142"/>
      <c r="BS78" s="142"/>
      <c r="BT78" s="142"/>
      <c r="BU78" s="142"/>
      <c r="BV78" s="142"/>
      <c r="BW78" s="142"/>
      <c r="BX78" s="142"/>
      <c r="BY78" s="141"/>
      <c r="BZ78" s="141"/>
      <c r="CA78" s="141"/>
      <c r="CB78" s="141"/>
      <c r="CC78" s="141"/>
      <c r="CD78" s="141"/>
      <c r="CE78" s="142"/>
      <c r="CF78" s="142"/>
      <c r="CG78" s="142"/>
      <c r="CH78" s="142"/>
      <c r="CI78" s="142"/>
      <c r="CJ78" s="142"/>
      <c r="CK78" s="142"/>
      <c r="CL78" s="142"/>
      <c r="CM78" s="142"/>
      <c r="CN78" s="142"/>
      <c r="CO78" s="142"/>
      <c r="CP78" s="142"/>
      <c r="CQ78" s="142"/>
    </row>
    <row r="79">
      <c r="A79" s="142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  <c r="AA79" s="142"/>
      <c r="AB79" s="142"/>
      <c r="AC79" s="142"/>
      <c r="AD79" s="142"/>
      <c r="AE79" s="142"/>
      <c r="AF79" s="142"/>
      <c r="AG79" s="142"/>
      <c r="AH79" s="142"/>
      <c r="AI79" s="142"/>
      <c r="AJ79" s="142"/>
      <c r="AK79" s="142"/>
      <c r="AL79" s="142"/>
      <c r="AM79" s="142"/>
      <c r="AN79" s="142"/>
      <c r="AO79" s="142"/>
      <c r="AP79" s="142"/>
      <c r="AQ79" s="142"/>
      <c r="AR79" s="142"/>
      <c r="AS79" s="142"/>
      <c r="AT79" s="142"/>
      <c r="AU79" s="142"/>
      <c r="AV79" s="142"/>
      <c r="AW79" s="142"/>
      <c r="AX79" s="142"/>
      <c r="AY79" s="142"/>
      <c r="AZ79" s="142"/>
      <c r="BA79" s="142"/>
      <c r="BB79" s="142"/>
      <c r="BC79" s="142"/>
      <c r="BD79" s="142"/>
      <c r="BE79" s="142"/>
      <c r="BF79" s="142"/>
      <c r="BG79" s="142"/>
      <c r="BH79" s="142"/>
      <c r="BI79" s="142"/>
      <c r="BJ79" s="142"/>
      <c r="BK79" s="142"/>
      <c r="BL79" s="142"/>
      <c r="BM79" s="142"/>
      <c r="BN79" s="142"/>
      <c r="BO79" s="142"/>
      <c r="BP79" s="142"/>
      <c r="BQ79" s="142"/>
      <c r="BR79" s="142"/>
      <c r="BS79" s="142"/>
      <c r="BT79" s="142"/>
      <c r="BU79" s="142"/>
      <c r="BV79" s="142"/>
      <c r="BW79" s="142"/>
      <c r="BX79" s="142"/>
      <c r="BY79" s="141"/>
      <c r="BZ79" s="141"/>
      <c r="CA79" s="141"/>
      <c r="CB79" s="141"/>
      <c r="CC79" s="141"/>
      <c r="CD79" s="141"/>
      <c r="CE79" s="142"/>
      <c r="CF79" s="142"/>
      <c r="CG79" s="142"/>
      <c r="CH79" s="142"/>
      <c r="CI79" s="142"/>
      <c r="CJ79" s="142"/>
      <c r="CK79" s="142"/>
      <c r="CL79" s="142"/>
      <c r="CM79" s="142"/>
      <c r="CN79" s="142"/>
      <c r="CO79" s="142"/>
      <c r="CP79" s="142"/>
      <c r="CQ79" s="142"/>
    </row>
    <row r="80">
      <c r="A80" s="142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  <c r="AA80" s="142"/>
      <c r="AB80" s="142"/>
      <c r="AC80" s="142"/>
      <c r="AD80" s="142"/>
      <c r="AE80" s="142"/>
      <c r="AF80" s="142"/>
      <c r="AG80" s="142"/>
      <c r="AH80" s="142"/>
      <c r="AI80" s="142"/>
      <c r="AJ80" s="142"/>
      <c r="AK80" s="142"/>
      <c r="AL80" s="142"/>
      <c r="AM80" s="142"/>
      <c r="AN80" s="142"/>
      <c r="AO80" s="142"/>
      <c r="AP80" s="142"/>
      <c r="AQ80" s="142"/>
      <c r="AR80" s="142"/>
      <c r="AS80" s="142"/>
      <c r="AT80" s="142"/>
      <c r="AU80" s="142"/>
      <c r="AV80" s="142"/>
      <c r="AW80" s="142"/>
      <c r="AX80" s="142"/>
      <c r="AY80" s="142"/>
      <c r="AZ80" s="142"/>
      <c r="BA80" s="142"/>
      <c r="BB80" s="142"/>
      <c r="BC80" s="142"/>
      <c r="BD80" s="142"/>
      <c r="BE80" s="142"/>
      <c r="BF80" s="142"/>
      <c r="BG80" s="142"/>
      <c r="BH80" s="142"/>
      <c r="BI80" s="142"/>
      <c r="BJ80" s="142"/>
      <c r="BK80" s="142"/>
      <c r="BL80" s="142"/>
      <c r="BM80" s="142"/>
      <c r="BN80" s="142"/>
      <c r="BO80" s="142"/>
      <c r="BP80" s="142"/>
      <c r="BQ80" s="142"/>
      <c r="BR80" s="142"/>
      <c r="BS80" s="142"/>
      <c r="BT80" s="142"/>
      <c r="BU80" s="142"/>
      <c r="BV80" s="142"/>
      <c r="BW80" s="142"/>
      <c r="BX80" s="142"/>
      <c r="BY80" s="141"/>
      <c r="BZ80" s="141"/>
      <c r="CA80" s="141"/>
      <c r="CB80" s="141"/>
      <c r="CC80" s="141"/>
      <c r="CD80" s="141"/>
      <c r="CE80" s="142"/>
      <c r="CF80" s="142"/>
      <c r="CG80" s="142"/>
      <c r="CH80" s="142"/>
      <c r="CI80" s="142"/>
      <c r="CJ80" s="142"/>
      <c r="CK80" s="142"/>
      <c r="CL80" s="142"/>
      <c r="CM80" s="142"/>
      <c r="CN80" s="142"/>
      <c r="CO80" s="142"/>
      <c r="CP80" s="142"/>
      <c r="CQ80" s="142"/>
    </row>
    <row r="81">
      <c r="A81" s="142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  <c r="AM81" s="142"/>
      <c r="AN81" s="142"/>
      <c r="AO81" s="142"/>
      <c r="AP81" s="142"/>
      <c r="AQ81" s="142"/>
      <c r="AR81" s="142"/>
      <c r="AS81" s="142"/>
      <c r="AT81" s="142"/>
      <c r="AU81" s="142"/>
      <c r="AV81" s="142"/>
      <c r="AW81" s="142"/>
      <c r="AX81" s="142"/>
      <c r="AY81" s="142"/>
      <c r="AZ81" s="142"/>
      <c r="BA81" s="142"/>
      <c r="BB81" s="142"/>
      <c r="BC81" s="142"/>
      <c r="BD81" s="142"/>
      <c r="BE81" s="142"/>
      <c r="BF81" s="142"/>
      <c r="BG81" s="142"/>
      <c r="BH81" s="142"/>
      <c r="BI81" s="142"/>
      <c r="BJ81" s="142"/>
      <c r="BK81" s="142"/>
      <c r="BL81" s="142"/>
      <c r="BM81" s="142"/>
      <c r="BN81" s="142"/>
      <c r="BO81" s="142"/>
      <c r="BP81" s="142"/>
      <c r="BQ81" s="142"/>
      <c r="BR81" s="142"/>
      <c r="BS81" s="142"/>
      <c r="BT81" s="142"/>
      <c r="BU81" s="142"/>
      <c r="BV81" s="142"/>
      <c r="BW81" s="142"/>
      <c r="BX81" s="142"/>
      <c r="BY81" s="141"/>
      <c r="BZ81" s="141"/>
      <c r="CA81" s="141"/>
      <c r="CB81" s="141"/>
      <c r="CC81" s="141"/>
      <c r="CD81" s="141"/>
      <c r="CE81" s="142"/>
      <c r="CF81" s="142"/>
      <c r="CG81" s="142"/>
      <c r="CH81" s="142"/>
      <c r="CI81" s="142"/>
      <c r="CJ81" s="142"/>
      <c r="CK81" s="142"/>
      <c r="CL81" s="142"/>
      <c r="CM81" s="142"/>
      <c r="CN81" s="142"/>
      <c r="CO81" s="142"/>
      <c r="CP81" s="142"/>
      <c r="CQ81" s="142"/>
    </row>
    <row r="82">
      <c r="A82" s="142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  <c r="AK82" s="142"/>
      <c r="AL82" s="142"/>
      <c r="AM82" s="142"/>
      <c r="AN82" s="142"/>
      <c r="AO82" s="142"/>
      <c r="AP82" s="142"/>
      <c r="AQ82" s="142"/>
      <c r="AR82" s="142"/>
      <c r="AS82" s="142"/>
      <c r="AT82" s="142"/>
      <c r="AU82" s="142"/>
      <c r="AV82" s="142"/>
      <c r="AW82" s="142"/>
      <c r="AX82" s="142"/>
      <c r="AY82" s="142"/>
      <c r="AZ82" s="142"/>
      <c r="BA82" s="142"/>
      <c r="BB82" s="142"/>
      <c r="BC82" s="142"/>
      <c r="BD82" s="142"/>
      <c r="BE82" s="142"/>
      <c r="BF82" s="142"/>
      <c r="BG82" s="142"/>
      <c r="BH82" s="142"/>
      <c r="BI82" s="142"/>
      <c r="BJ82" s="142"/>
      <c r="BK82" s="142"/>
      <c r="BL82" s="142"/>
      <c r="BM82" s="142"/>
      <c r="BN82" s="142"/>
      <c r="BO82" s="142"/>
      <c r="BP82" s="142"/>
      <c r="BQ82" s="142"/>
      <c r="BR82" s="142"/>
      <c r="BS82" s="142"/>
      <c r="BT82" s="142"/>
      <c r="BU82" s="142"/>
      <c r="BV82" s="142"/>
      <c r="BW82" s="142"/>
      <c r="BX82" s="142"/>
      <c r="BY82" s="141"/>
      <c r="BZ82" s="141"/>
      <c r="CA82" s="141"/>
      <c r="CB82" s="141"/>
      <c r="CC82" s="141"/>
      <c r="CD82" s="141"/>
      <c r="CE82" s="142"/>
      <c r="CF82" s="142"/>
      <c r="CG82" s="142"/>
      <c r="CH82" s="142"/>
      <c r="CI82" s="142"/>
      <c r="CJ82" s="142"/>
      <c r="CK82" s="142"/>
      <c r="CL82" s="142"/>
      <c r="CM82" s="142"/>
      <c r="CN82" s="142"/>
      <c r="CO82" s="142"/>
      <c r="CP82" s="142"/>
      <c r="CQ82" s="142"/>
    </row>
    <row r="83">
      <c r="A83" s="142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  <c r="AK83" s="142"/>
      <c r="AL83" s="142"/>
      <c r="AM83" s="142"/>
      <c r="AN83" s="142"/>
      <c r="AO83" s="142"/>
      <c r="AP83" s="142"/>
      <c r="AQ83" s="142"/>
      <c r="AR83" s="142"/>
      <c r="AS83" s="142"/>
      <c r="AT83" s="142"/>
      <c r="AU83" s="142"/>
      <c r="AV83" s="142"/>
      <c r="AW83" s="142"/>
      <c r="AX83" s="142"/>
      <c r="AY83" s="142"/>
      <c r="AZ83" s="142"/>
      <c r="BA83" s="142"/>
      <c r="BB83" s="142"/>
      <c r="BC83" s="142"/>
      <c r="BD83" s="142"/>
      <c r="BE83" s="142"/>
      <c r="BF83" s="142"/>
      <c r="BG83" s="142"/>
      <c r="BH83" s="142"/>
      <c r="BI83" s="142"/>
      <c r="BJ83" s="142"/>
      <c r="BK83" s="142"/>
      <c r="BL83" s="142"/>
      <c r="BM83" s="142"/>
      <c r="BN83" s="142"/>
      <c r="BO83" s="142"/>
      <c r="BP83" s="142"/>
      <c r="BQ83" s="142"/>
      <c r="BR83" s="142"/>
      <c r="BS83" s="142"/>
      <c r="BT83" s="142"/>
      <c r="BU83" s="142"/>
      <c r="BV83" s="142"/>
      <c r="BW83" s="142"/>
      <c r="BX83" s="142"/>
      <c r="BY83" s="141"/>
      <c r="BZ83" s="141"/>
      <c r="CA83" s="141"/>
      <c r="CB83" s="141"/>
      <c r="CC83" s="141"/>
      <c r="CD83" s="141"/>
      <c r="CE83" s="142"/>
      <c r="CF83" s="142"/>
      <c r="CG83" s="142"/>
      <c r="CH83" s="142"/>
      <c r="CI83" s="142"/>
      <c r="CJ83" s="142"/>
      <c r="CK83" s="142"/>
      <c r="CL83" s="142"/>
      <c r="CM83" s="142"/>
      <c r="CN83" s="142"/>
      <c r="CO83" s="142"/>
      <c r="CP83" s="142"/>
      <c r="CQ83" s="142"/>
    </row>
    <row r="84">
      <c r="A84" s="142"/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  <c r="AA84" s="142"/>
      <c r="AB84" s="142"/>
      <c r="AC84" s="142"/>
      <c r="AD84" s="142"/>
      <c r="AE84" s="142"/>
      <c r="AF84" s="142"/>
      <c r="AG84" s="142"/>
      <c r="AH84" s="142"/>
      <c r="AI84" s="142"/>
      <c r="AJ84" s="142"/>
      <c r="AK84" s="142"/>
      <c r="AL84" s="142"/>
      <c r="AM84" s="142"/>
      <c r="AN84" s="142"/>
      <c r="AO84" s="142"/>
      <c r="AP84" s="142"/>
      <c r="AQ84" s="142"/>
      <c r="AR84" s="142"/>
      <c r="AS84" s="142"/>
      <c r="AT84" s="142"/>
      <c r="AU84" s="142"/>
      <c r="AV84" s="142"/>
      <c r="AW84" s="142"/>
      <c r="AX84" s="142"/>
      <c r="AY84" s="142"/>
      <c r="AZ84" s="142"/>
      <c r="BA84" s="142"/>
      <c r="BB84" s="142"/>
      <c r="BC84" s="142"/>
      <c r="BD84" s="142"/>
      <c r="BE84" s="142"/>
      <c r="BF84" s="142"/>
      <c r="BG84" s="142"/>
      <c r="BH84" s="142"/>
      <c r="BI84" s="142"/>
      <c r="BJ84" s="142"/>
      <c r="BK84" s="142"/>
      <c r="BL84" s="142"/>
      <c r="BM84" s="142"/>
      <c r="BN84" s="142"/>
      <c r="BO84" s="142"/>
      <c r="BP84" s="142"/>
      <c r="BQ84" s="142"/>
      <c r="BR84" s="142"/>
      <c r="BS84" s="142"/>
      <c r="BT84" s="142"/>
      <c r="BU84" s="142"/>
      <c r="BV84" s="142"/>
      <c r="BW84" s="142"/>
      <c r="BX84" s="142"/>
      <c r="BY84" s="141"/>
      <c r="BZ84" s="141"/>
      <c r="CA84" s="141"/>
      <c r="CB84" s="141"/>
      <c r="CC84" s="141"/>
      <c r="CD84" s="141"/>
      <c r="CE84" s="142"/>
      <c r="CF84" s="142"/>
      <c r="CG84" s="142"/>
      <c r="CH84" s="142"/>
      <c r="CI84" s="142"/>
      <c r="CJ84" s="142"/>
      <c r="CK84" s="142"/>
      <c r="CL84" s="142"/>
      <c r="CM84" s="142"/>
      <c r="CN84" s="142"/>
      <c r="CO84" s="142"/>
      <c r="CP84" s="142"/>
      <c r="CQ84" s="142"/>
    </row>
    <row r="85">
      <c r="A85" s="142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  <c r="AG85" s="142"/>
      <c r="AH85" s="142"/>
      <c r="AI85" s="142"/>
      <c r="AJ85" s="142"/>
      <c r="AK85" s="142"/>
      <c r="AL85" s="142"/>
      <c r="AM85" s="142"/>
      <c r="AN85" s="142"/>
      <c r="AO85" s="142"/>
      <c r="AP85" s="142"/>
      <c r="AQ85" s="142"/>
      <c r="AR85" s="142"/>
      <c r="AS85" s="142"/>
      <c r="AT85" s="142"/>
      <c r="AU85" s="142"/>
      <c r="AV85" s="142"/>
      <c r="AW85" s="142"/>
      <c r="AX85" s="142"/>
      <c r="AY85" s="142"/>
      <c r="AZ85" s="142"/>
      <c r="BA85" s="142"/>
      <c r="BB85" s="142"/>
      <c r="BC85" s="142"/>
      <c r="BD85" s="142"/>
      <c r="BE85" s="142"/>
      <c r="BF85" s="142"/>
      <c r="BG85" s="142"/>
      <c r="BH85" s="142"/>
      <c r="BI85" s="142"/>
      <c r="BJ85" s="142"/>
      <c r="BK85" s="142"/>
      <c r="BL85" s="142"/>
      <c r="BM85" s="142"/>
      <c r="BN85" s="142"/>
      <c r="BO85" s="142"/>
      <c r="BP85" s="142"/>
      <c r="BQ85" s="142"/>
      <c r="BR85" s="142"/>
      <c r="BS85" s="142"/>
      <c r="BT85" s="142"/>
      <c r="BU85" s="142"/>
      <c r="BV85" s="142"/>
      <c r="BW85" s="142"/>
      <c r="BX85" s="142"/>
      <c r="BY85" s="141"/>
      <c r="BZ85" s="141"/>
      <c r="CA85" s="141"/>
      <c r="CB85" s="141"/>
      <c r="CC85" s="141"/>
      <c r="CD85" s="141"/>
      <c r="CE85" s="142"/>
      <c r="CF85" s="142"/>
      <c r="CG85" s="142"/>
      <c r="CH85" s="142"/>
      <c r="CI85" s="142"/>
      <c r="CJ85" s="142"/>
      <c r="CK85" s="142"/>
      <c r="CL85" s="142"/>
      <c r="CM85" s="142"/>
      <c r="CN85" s="142"/>
      <c r="CO85" s="142"/>
      <c r="CP85" s="142"/>
      <c r="CQ85" s="142"/>
    </row>
    <row r="86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/>
      <c r="AI86" s="142"/>
      <c r="AJ86" s="142"/>
      <c r="AK86" s="142"/>
      <c r="AL86" s="142"/>
      <c r="AM86" s="142"/>
      <c r="AN86" s="142"/>
      <c r="AO86" s="142"/>
      <c r="AP86" s="142"/>
      <c r="AQ86" s="142"/>
      <c r="AR86" s="142"/>
      <c r="AS86" s="142"/>
      <c r="AT86" s="142"/>
      <c r="AU86" s="142"/>
      <c r="AV86" s="142"/>
      <c r="AW86" s="142"/>
      <c r="AX86" s="142"/>
      <c r="AY86" s="142"/>
      <c r="AZ86" s="142"/>
      <c r="BA86" s="142"/>
      <c r="BB86" s="142"/>
      <c r="BC86" s="142"/>
      <c r="BD86" s="142"/>
      <c r="BE86" s="142"/>
      <c r="BF86" s="142"/>
      <c r="BG86" s="142"/>
      <c r="BH86" s="142"/>
      <c r="BI86" s="142"/>
      <c r="BJ86" s="142"/>
      <c r="BK86" s="142"/>
      <c r="BL86" s="142"/>
      <c r="BM86" s="142"/>
      <c r="BN86" s="142"/>
      <c r="BO86" s="142"/>
      <c r="BP86" s="142"/>
      <c r="BQ86" s="142"/>
      <c r="BR86" s="142"/>
      <c r="BS86" s="142"/>
      <c r="BT86" s="142"/>
      <c r="BU86" s="142"/>
      <c r="BV86" s="142"/>
      <c r="BW86" s="142"/>
      <c r="BX86" s="142"/>
      <c r="BY86" s="141"/>
      <c r="BZ86" s="141"/>
      <c r="CA86" s="141"/>
      <c r="CB86" s="141"/>
      <c r="CC86" s="141"/>
      <c r="CD86" s="141"/>
      <c r="CE86" s="142"/>
      <c r="CF86" s="142"/>
      <c r="CG86" s="142"/>
      <c r="CH86" s="142"/>
      <c r="CI86" s="142"/>
      <c r="CJ86" s="142"/>
      <c r="CK86" s="142"/>
      <c r="CL86" s="142"/>
      <c r="CM86" s="142"/>
      <c r="CN86" s="142"/>
      <c r="CO86" s="142"/>
      <c r="CP86" s="142"/>
      <c r="CQ86" s="142"/>
    </row>
    <row r="87">
      <c r="A87" s="142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  <c r="AK87" s="142"/>
      <c r="AL87" s="142"/>
      <c r="AM87" s="142"/>
      <c r="AN87" s="142"/>
      <c r="AO87" s="142"/>
      <c r="AP87" s="142"/>
      <c r="AQ87" s="142"/>
      <c r="AR87" s="142"/>
      <c r="AS87" s="142"/>
      <c r="AT87" s="142"/>
      <c r="AU87" s="142"/>
      <c r="AV87" s="142"/>
      <c r="AW87" s="142"/>
      <c r="AX87" s="142"/>
      <c r="AY87" s="142"/>
      <c r="AZ87" s="142"/>
      <c r="BA87" s="142"/>
      <c r="BB87" s="142"/>
      <c r="BC87" s="142"/>
      <c r="BD87" s="142"/>
      <c r="BE87" s="142"/>
      <c r="BF87" s="142"/>
      <c r="BG87" s="142"/>
      <c r="BH87" s="142"/>
      <c r="BI87" s="142"/>
      <c r="BJ87" s="142"/>
      <c r="BK87" s="142"/>
      <c r="BL87" s="142"/>
      <c r="BM87" s="142"/>
      <c r="BN87" s="142"/>
      <c r="BO87" s="142"/>
      <c r="BP87" s="142"/>
      <c r="BQ87" s="142"/>
      <c r="BR87" s="142"/>
      <c r="BS87" s="142"/>
      <c r="BT87" s="142"/>
      <c r="BU87" s="142"/>
      <c r="BV87" s="142"/>
      <c r="BW87" s="142"/>
      <c r="BX87" s="142"/>
      <c r="BY87" s="141"/>
      <c r="BZ87" s="141"/>
      <c r="CA87" s="141"/>
      <c r="CB87" s="141"/>
      <c r="CC87" s="141"/>
      <c r="CD87" s="141"/>
      <c r="CE87" s="142"/>
      <c r="CF87" s="142"/>
      <c r="CG87" s="142"/>
      <c r="CH87" s="142"/>
      <c r="CI87" s="142"/>
      <c r="CJ87" s="142"/>
      <c r="CK87" s="142"/>
      <c r="CL87" s="142"/>
      <c r="CM87" s="142"/>
      <c r="CN87" s="142"/>
      <c r="CO87" s="142"/>
      <c r="CP87" s="142"/>
      <c r="CQ87" s="142"/>
    </row>
    <row r="88">
      <c r="A88" s="142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142"/>
      <c r="AG88" s="142"/>
      <c r="AH88" s="142"/>
      <c r="AI88" s="142"/>
      <c r="AJ88" s="142"/>
      <c r="AK88" s="142"/>
      <c r="AL88" s="142"/>
      <c r="AM88" s="142"/>
      <c r="AN88" s="142"/>
      <c r="AO88" s="142"/>
      <c r="AP88" s="142"/>
      <c r="AQ88" s="142"/>
      <c r="AR88" s="142"/>
      <c r="AS88" s="142"/>
      <c r="AT88" s="142"/>
      <c r="AU88" s="142"/>
      <c r="AV88" s="142"/>
      <c r="AW88" s="142"/>
      <c r="AX88" s="142"/>
      <c r="AY88" s="142"/>
      <c r="AZ88" s="142"/>
      <c r="BA88" s="142"/>
      <c r="BB88" s="142"/>
      <c r="BC88" s="142"/>
      <c r="BD88" s="142"/>
      <c r="BE88" s="142"/>
      <c r="BF88" s="142"/>
      <c r="BG88" s="142"/>
      <c r="BH88" s="142"/>
      <c r="BI88" s="142"/>
      <c r="BJ88" s="142"/>
      <c r="BK88" s="142"/>
      <c r="BL88" s="142"/>
      <c r="BM88" s="142"/>
      <c r="BN88" s="142"/>
      <c r="BO88" s="142"/>
      <c r="BP88" s="142"/>
      <c r="BQ88" s="142"/>
      <c r="BR88" s="142"/>
      <c r="BS88" s="142"/>
      <c r="BT88" s="142"/>
      <c r="BU88" s="142"/>
      <c r="BV88" s="142"/>
      <c r="BW88" s="142"/>
      <c r="BX88" s="142"/>
      <c r="BY88" s="141"/>
      <c r="BZ88" s="141"/>
      <c r="CA88" s="141"/>
      <c r="CB88" s="141"/>
      <c r="CC88" s="141"/>
      <c r="CD88" s="141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</row>
    <row r="89">
      <c r="A89" s="142"/>
      <c r="B89" s="142"/>
      <c r="C89" s="14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2"/>
      <c r="AI89" s="142"/>
      <c r="AJ89" s="142"/>
      <c r="AK89" s="142"/>
      <c r="AL89" s="142"/>
      <c r="AM89" s="142"/>
      <c r="AN89" s="142"/>
      <c r="AO89" s="142"/>
      <c r="AP89" s="142"/>
      <c r="AQ89" s="142"/>
      <c r="AR89" s="142"/>
      <c r="AS89" s="142"/>
      <c r="AT89" s="142"/>
      <c r="AU89" s="142"/>
      <c r="AV89" s="142"/>
      <c r="AW89" s="142"/>
      <c r="AX89" s="142"/>
      <c r="AY89" s="142"/>
      <c r="AZ89" s="142"/>
      <c r="BA89" s="142"/>
      <c r="BB89" s="142"/>
      <c r="BC89" s="142"/>
      <c r="BD89" s="142"/>
      <c r="BE89" s="142"/>
      <c r="BF89" s="142"/>
      <c r="BG89" s="142"/>
      <c r="BH89" s="142"/>
      <c r="BI89" s="142"/>
      <c r="BJ89" s="142"/>
      <c r="BK89" s="142"/>
      <c r="BL89" s="142"/>
      <c r="BM89" s="142"/>
      <c r="BN89" s="142"/>
      <c r="BO89" s="142"/>
      <c r="BP89" s="142"/>
      <c r="BQ89" s="142"/>
      <c r="BR89" s="142"/>
      <c r="BS89" s="142"/>
      <c r="BT89" s="142"/>
      <c r="BU89" s="142"/>
      <c r="BV89" s="142"/>
      <c r="BW89" s="142"/>
      <c r="BX89" s="142"/>
      <c r="BY89" s="141"/>
      <c r="BZ89" s="141"/>
      <c r="CA89" s="141"/>
      <c r="CB89" s="141"/>
      <c r="CC89" s="141"/>
      <c r="CD89" s="141"/>
      <c r="CE89" s="142"/>
      <c r="CF89" s="142"/>
      <c r="CG89" s="142"/>
      <c r="CH89" s="142"/>
      <c r="CI89" s="142"/>
      <c r="CJ89" s="142"/>
      <c r="CK89" s="142"/>
      <c r="CL89" s="142"/>
      <c r="CM89" s="142"/>
      <c r="CN89" s="142"/>
      <c r="CO89" s="142"/>
      <c r="CP89" s="142"/>
      <c r="CQ89" s="142"/>
    </row>
    <row r="90">
      <c r="A90" s="142"/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 s="142"/>
      <c r="AI90" s="142"/>
      <c r="AJ90" s="142"/>
      <c r="AK90" s="142"/>
      <c r="AL90" s="142"/>
      <c r="AM90" s="142"/>
      <c r="AN90" s="142"/>
      <c r="AO90" s="142"/>
      <c r="AP90" s="142"/>
      <c r="AQ90" s="142"/>
      <c r="AR90" s="142"/>
      <c r="AS90" s="142"/>
      <c r="AT90" s="142"/>
      <c r="AU90" s="142"/>
      <c r="AV90" s="142"/>
      <c r="AW90" s="142"/>
      <c r="AX90" s="142"/>
      <c r="AY90" s="142"/>
      <c r="AZ90" s="142"/>
      <c r="BA90" s="142"/>
      <c r="BB90" s="142"/>
      <c r="BC90" s="142"/>
      <c r="BD90" s="142"/>
      <c r="BE90" s="142"/>
      <c r="BF90" s="142"/>
      <c r="BG90" s="142"/>
      <c r="BH90" s="142"/>
      <c r="BI90" s="142"/>
      <c r="BJ90" s="142"/>
      <c r="BK90" s="142"/>
      <c r="BL90" s="142"/>
      <c r="BM90" s="142"/>
      <c r="BN90" s="142"/>
      <c r="BO90" s="142"/>
      <c r="BP90" s="142"/>
      <c r="BQ90" s="142"/>
      <c r="BR90" s="142"/>
      <c r="BS90" s="142"/>
      <c r="BT90" s="142"/>
      <c r="BU90" s="142"/>
      <c r="BV90" s="142"/>
      <c r="BW90" s="142"/>
      <c r="BX90" s="142"/>
      <c r="BY90" s="141"/>
      <c r="BZ90" s="141"/>
      <c r="CA90" s="141"/>
      <c r="CB90" s="141"/>
      <c r="CC90" s="141"/>
      <c r="CD90" s="141"/>
      <c r="CE90" s="142"/>
      <c r="CF90" s="142"/>
      <c r="CG90" s="142"/>
      <c r="CH90" s="142"/>
      <c r="CI90" s="142"/>
      <c r="CJ90" s="142"/>
      <c r="CK90" s="142"/>
      <c r="CL90" s="142"/>
      <c r="CM90" s="142"/>
      <c r="CN90" s="142"/>
      <c r="CO90" s="142"/>
      <c r="CP90" s="142"/>
      <c r="CQ90" s="142"/>
    </row>
    <row r="91">
      <c r="A91" s="142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  <c r="AH91" s="142"/>
      <c r="AI91" s="142"/>
      <c r="AJ91" s="142"/>
      <c r="AK91" s="142"/>
      <c r="AL91" s="142"/>
      <c r="AM91" s="142"/>
      <c r="AN91" s="142"/>
      <c r="AO91" s="142"/>
      <c r="AP91" s="142"/>
      <c r="AQ91" s="142"/>
      <c r="AR91" s="142"/>
      <c r="AS91" s="142"/>
      <c r="AT91" s="142"/>
      <c r="AU91" s="142"/>
      <c r="AV91" s="142"/>
      <c r="AW91" s="142"/>
      <c r="AX91" s="142"/>
      <c r="AY91" s="142"/>
      <c r="AZ91" s="142"/>
      <c r="BA91" s="142"/>
      <c r="BB91" s="142"/>
      <c r="BC91" s="142"/>
      <c r="BD91" s="142"/>
      <c r="BE91" s="142"/>
      <c r="BF91" s="142"/>
      <c r="BG91" s="142"/>
      <c r="BH91" s="142"/>
      <c r="BI91" s="142"/>
      <c r="BJ91" s="142"/>
      <c r="BK91" s="142"/>
      <c r="BL91" s="142"/>
      <c r="BM91" s="142"/>
      <c r="BN91" s="142"/>
      <c r="BO91" s="142"/>
      <c r="BP91" s="142"/>
      <c r="BQ91" s="142"/>
      <c r="BR91" s="142"/>
      <c r="BS91" s="142"/>
      <c r="BT91" s="142"/>
      <c r="BU91" s="142"/>
      <c r="BV91" s="142"/>
      <c r="BW91" s="142"/>
      <c r="BX91" s="142"/>
      <c r="BY91" s="141"/>
      <c r="BZ91" s="141"/>
      <c r="CA91" s="141"/>
      <c r="CB91" s="141"/>
      <c r="CC91" s="141"/>
      <c r="CD91" s="141"/>
      <c r="CE91" s="142"/>
      <c r="CF91" s="142"/>
      <c r="CG91" s="142"/>
      <c r="CH91" s="142"/>
      <c r="CI91" s="142"/>
      <c r="CJ91" s="142"/>
      <c r="CK91" s="142"/>
      <c r="CL91" s="142"/>
      <c r="CM91" s="142"/>
      <c r="CN91" s="142"/>
      <c r="CO91" s="142"/>
      <c r="CP91" s="142"/>
      <c r="CQ91" s="142"/>
    </row>
    <row r="92">
      <c r="A92" s="142"/>
      <c r="B92" s="142"/>
      <c r="C92" s="14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  <c r="AA92" s="142"/>
      <c r="AB92" s="142"/>
      <c r="AC92" s="142"/>
      <c r="AD92" s="142"/>
      <c r="AE92" s="142"/>
      <c r="AF92" s="142"/>
      <c r="AG92" s="142"/>
      <c r="AH92" s="142"/>
      <c r="AI92" s="142"/>
      <c r="AJ92" s="142"/>
      <c r="AK92" s="142"/>
      <c r="AL92" s="142"/>
      <c r="AM92" s="142"/>
      <c r="AN92" s="142"/>
      <c r="AO92" s="142"/>
      <c r="AP92" s="142"/>
      <c r="AQ92" s="142"/>
      <c r="AR92" s="142"/>
      <c r="AS92" s="142"/>
      <c r="AT92" s="142"/>
      <c r="AU92" s="142"/>
      <c r="AV92" s="142"/>
      <c r="AW92" s="142"/>
      <c r="AX92" s="142"/>
      <c r="AY92" s="142"/>
      <c r="AZ92" s="142"/>
      <c r="BA92" s="142"/>
      <c r="BB92" s="142"/>
      <c r="BC92" s="142"/>
      <c r="BD92" s="142"/>
      <c r="BE92" s="142"/>
      <c r="BF92" s="142"/>
      <c r="BG92" s="142"/>
      <c r="BH92" s="142"/>
      <c r="BI92" s="142"/>
      <c r="BJ92" s="142"/>
      <c r="BK92" s="142"/>
      <c r="BL92" s="142"/>
      <c r="BM92" s="142"/>
      <c r="BN92" s="142"/>
      <c r="BO92" s="142"/>
      <c r="BP92" s="142"/>
      <c r="BQ92" s="142"/>
      <c r="BR92" s="142"/>
      <c r="BS92" s="142"/>
      <c r="BT92" s="142"/>
      <c r="BU92" s="142"/>
      <c r="BV92" s="142"/>
      <c r="BW92" s="142"/>
      <c r="BX92" s="142"/>
      <c r="BY92" s="141"/>
      <c r="BZ92" s="141"/>
      <c r="CA92" s="141"/>
      <c r="CB92" s="141"/>
      <c r="CC92" s="141"/>
      <c r="CD92" s="141"/>
      <c r="CE92" s="142"/>
      <c r="CF92" s="142"/>
      <c r="CG92" s="142"/>
      <c r="CH92" s="142"/>
      <c r="CI92" s="142"/>
      <c r="CJ92" s="142"/>
      <c r="CK92" s="142"/>
      <c r="CL92" s="142"/>
      <c r="CM92" s="142"/>
      <c r="CN92" s="142"/>
      <c r="CO92" s="142"/>
      <c r="CP92" s="142"/>
      <c r="CQ92" s="142"/>
    </row>
    <row r="93">
      <c r="A93" s="142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2"/>
      <c r="AI93" s="142"/>
      <c r="AJ93" s="142"/>
      <c r="AK93" s="142"/>
      <c r="AL93" s="142"/>
      <c r="AM93" s="142"/>
      <c r="AN93" s="142"/>
      <c r="AO93" s="142"/>
      <c r="AP93" s="142"/>
      <c r="AQ93" s="142"/>
      <c r="AR93" s="142"/>
      <c r="AS93" s="142"/>
      <c r="AT93" s="142"/>
      <c r="AU93" s="142"/>
      <c r="AV93" s="142"/>
      <c r="AW93" s="142"/>
      <c r="AX93" s="142"/>
      <c r="AY93" s="142"/>
      <c r="AZ93" s="142"/>
      <c r="BA93" s="142"/>
      <c r="BB93" s="142"/>
      <c r="BC93" s="142"/>
      <c r="BD93" s="142"/>
      <c r="BE93" s="142"/>
      <c r="BF93" s="142"/>
      <c r="BG93" s="142"/>
      <c r="BH93" s="142"/>
      <c r="BI93" s="142"/>
      <c r="BJ93" s="142"/>
      <c r="BK93" s="142"/>
      <c r="BL93" s="142"/>
      <c r="BM93" s="142"/>
      <c r="BN93" s="142"/>
      <c r="BO93" s="142"/>
      <c r="BP93" s="142"/>
      <c r="BQ93" s="142"/>
      <c r="BR93" s="142"/>
      <c r="BS93" s="142"/>
      <c r="BT93" s="142"/>
      <c r="BU93" s="142"/>
      <c r="BV93" s="142"/>
      <c r="BW93" s="142"/>
      <c r="BX93" s="142"/>
      <c r="BY93" s="141"/>
      <c r="BZ93" s="141"/>
      <c r="CA93" s="141"/>
      <c r="CB93" s="141"/>
      <c r="CC93" s="141"/>
      <c r="CD93" s="141"/>
      <c r="CE93" s="142"/>
      <c r="CF93" s="142"/>
      <c r="CG93" s="142"/>
      <c r="CH93" s="142"/>
      <c r="CI93" s="142"/>
      <c r="CJ93" s="142"/>
      <c r="CK93" s="142"/>
      <c r="CL93" s="142"/>
      <c r="CM93" s="142"/>
      <c r="CN93" s="142"/>
      <c r="CO93" s="142"/>
      <c r="CP93" s="142"/>
      <c r="CQ93" s="142"/>
    </row>
    <row r="94">
      <c r="A94" s="142"/>
      <c r="B94" s="142"/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2"/>
      <c r="AI94" s="142"/>
      <c r="AJ94" s="142"/>
      <c r="AK94" s="142"/>
      <c r="AL94" s="142"/>
      <c r="AM94" s="142"/>
      <c r="AN94" s="142"/>
      <c r="AO94" s="142"/>
      <c r="AP94" s="142"/>
      <c r="AQ94" s="142"/>
      <c r="AR94" s="142"/>
      <c r="AS94" s="142"/>
      <c r="AT94" s="142"/>
      <c r="AU94" s="142"/>
      <c r="AV94" s="142"/>
      <c r="AW94" s="142"/>
      <c r="AX94" s="142"/>
      <c r="AY94" s="142"/>
      <c r="AZ94" s="142"/>
      <c r="BA94" s="142"/>
      <c r="BB94" s="142"/>
      <c r="BC94" s="142"/>
      <c r="BD94" s="142"/>
      <c r="BE94" s="142"/>
      <c r="BF94" s="142"/>
      <c r="BG94" s="142"/>
      <c r="BH94" s="142"/>
      <c r="BI94" s="142"/>
      <c r="BJ94" s="142"/>
      <c r="BK94" s="142"/>
      <c r="BL94" s="142"/>
      <c r="BM94" s="142"/>
      <c r="BN94" s="142"/>
      <c r="BO94" s="142"/>
      <c r="BP94" s="142"/>
      <c r="BQ94" s="142"/>
      <c r="BR94" s="142"/>
      <c r="BS94" s="142"/>
      <c r="BT94" s="142"/>
      <c r="BU94" s="142"/>
      <c r="BV94" s="142"/>
      <c r="BW94" s="142"/>
      <c r="BX94" s="142"/>
      <c r="BY94" s="141"/>
      <c r="BZ94" s="141"/>
      <c r="CA94" s="141"/>
      <c r="CB94" s="141"/>
      <c r="CC94" s="141"/>
      <c r="CD94" s="141"/>
      <c r="CE94" s="142"/>
      <c r="CF94" s="142"/>
      <c r="CG94" s="142"/>
      <c r="CH94" s="142"/>
      <c r="CI94" s="142"/>
      <c r="CJ94" s="142"/>
      <c r="CK94" s="142"/>
      <c r="CL94" s="142"/>
      <c r="CM94" s="142"/>
      <c r="CN94" s="142"/>
      <c r="CO94" s="142"/>
      <c r="CP94" s="142"/>
      <c r="CQ94" s="142"/>
    </row>
    <row r="95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  <c r="AH95" s="142"/>
      <c r="AI95" s="142"/>
      <c r="AJ95" s="142"/>
      <c r="AK95" s="142"/>
      <c r="AL95" s="142"/>
      <c r="AM95" s="142"/>
      <c r="AN95" s="142"/>
      <c r="AO95" s="142"/>
      <c r="AP95" s="142"/>
      <c r="AQ95" s="142"/>
      <c r="AR95" s="142"/>
      <c r="AS95" s="142"/>
      <c r="AT95" s="142"/>
      <c r="AU95" s="142"/>
      <c r="AV95" s="142"/>
      <c r="AW95" s="142"/>
      <c r="AX95" s="142"/>
      <c r="AY95" s="142"/>
      <c r="AZ95" s="142"/>
      <c r="BA95" s="142"/>
      <c r="BB95" s="142"/>
      <c r="BC95" s="142"/>
      <c r="BD95" s="142"/>
      <c r="BE95" s="142"/>
      <c r="BF95" s="142"/>
      <c r="BG95" s="142"/>
      <c r="BH95" s="142"/>
      <c r="BI95" s="142"/>
      <c r="BJ95" s="142"/>
      <c r="BK95" s="142"/>
      <c r="BL95" s="142"/>
      <c r="BM95" s="142"/>
      <c r="BN95" s="142"/>
      <c r="BO95" s="142"/>
      <c r="BP95" s="142"/>
      <c r="BQ95" s="142"/>
      <c r="BR95" s="142"/>
      <c r="BS95" s="142"/>
      <c r="BT95" s="142"/>
      <c r="BU95" s="142"/>
      <c r="BV95" s="142"/>
      <c r="BW95" s="142"/>
      <c r="BX95" s="142"/>
      <c r="BY95" s="141"/>
      <c r="BZ95" s="141"/>
      <c r="CA95" s="141"/>
      <c r="CB95" s="141"/>
      <c r="CC95" s="141"/>
      <c r="CD95" s="141"/>
      <c r="CE95" s="142"/>
      <c r="CF95" s="142"/>
      <c r="CG95" s="142"/>
      <c r="CH95" s="142"/>
      <c r="CI95" s="142"/>
      <c r="CJ95" s="142"/>
      <c r="CK95" s="142"/>
      <c r="CL95" s="142"/>
      <c r="CM95" s="142"/>
      <c r="CN95" s="142"/>
      <c r="CO95" s="142"/>
      <c r="CP95" s="142"/>
      <c r="CQ95" s="142"/>
    </row>
    <row r="96">
      <c r="A96" s="142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  <c r="AA96" s="142"/>
      <c r="AB96" s="142"/>
      <c r="AC96" s="142"/>
      <c r="AD96" s="142"/>
      <c r="AE96" s="142"/>
      <c r="AF96" s="142"/>
      <c r="AG96" s="142"/>
      <c r="AH96" s="142"/>
      <c r="AI96" s="142"/>
      <c r="AJ96" s="142"/>
      <c r="AK96" s="142"/>
      <c r="AL96" s="142"/>
      <c r="AM96" s="142"/>
      <c r="AN96" s="142"/>
      <c r="AO96" s="142"/>
      <c r="AP96" s="142"/>
      <c r="AQ96" s="142"/>
      <c r="AR96" s="142"/>
      <c r="AS96" s="142"/>
      <c r="AT96" s="142"/>
      <c r="AU96" s="142"/>
      <c r="AV96" s="142"/>
      <c r="AW96" s="142"/>
      <c r="AX96" s="142"/>
      <c r="AY96" s="142"/>
      <c r="AZ96" s="142"/>
      <c r="BA96" s="142"/>
      <c r="BB96" s="142"/>
      <c r="BC96" s="142"/>
      <c r="BD96" s="142"/>
      <c r="BE96" s="142"/>
      <c r="BF96" s="142"/>
      <c r="BG96" s="142"/>
      <c r="BH96" s="142"/>
      <c r="BI96" s="142"/>
      <c r="BJ96" s="142"/>
      <c r="BK96" s="142"/>
      <c r="BL96" s="142"/>
      <c r="BM96" s="142"/>
      <c r="BN96" s="142"/>
      <c r="BO96" s="142"/>
      <c r="BP96" s="142"/>
      <c r="BQ96" s="142"/>
      <c r="BR96" s="142"/>
      <c r="BS96" s="142"/>
      <c r="BT96" s="142"/>
      <c r="BU96" s="142"/>
      <c r="BV96" s="142"/>
      <c r="BW96" s="142"/>
      <c r="BX96" s="142"/>
      <c r="BY96" s="141"/>
      <c r="BZ96" s="141"/>
      <c r="CA96" s="141"/>
      <c r="CB96" s="141"/>
      <c r="CC96" s="141"/>
      <c r="CD96" s="141"/>
      <c r="CE96" s="142"/>
      <c r="CF96" s="142"/>
      <c r="CG96" s="142"/>
      <c r="CH96" s="142"/>
      <c r="CI96" s="142"/>
      <c r="CJ96" s="142"/>
      <c r="CK96" s="142"/>
      <c r="CL96" s="142"/>
      <c r="CM96" s="142"/>
      <c r="CN96" s="142"/>
      <c r="CO96" s="142"/>
      <c r="CP96" s="142"/>
      <c r="CQ96" s="142"/>
    </row>
    <row r="97">
      <c r="A97" s="142"/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42"/>
      <c r="AL97" s="142"/>
      <c r="AM97" s="142"/>
      <c r="AN97" s="142"/>
      <c r="AO97" s="142"/>
      <c r="AP97" s="142"/>
      <c r="AQ97" s="142"/>
      <c r="AR97" s="142"/>
      <c r="AS97" s="142"/>
      <c r="AT97" s="142"/>
      <c r="AU97" s="142"/>
      <c r="AV97" s="142"/>
      <c r="AW97" s="142"/>
      <c r="AX97" s="142"/>
      <c r="AY97" s="142"/>
      <c r="AZ97" s="142"/>
      <c r="BA97" s="142"/>
      <c r="BB97" s="142"/>
      <c r="BC97" s="142"/>
      <c r="BD97" s="142"/>
      <c r="BE97" s="142"/>
      <c r="BF97" s="142"/>
      <c r="BG97" s="142"/>
      <c r="BH97" s="142"/>
      <c r="BI97" s="142"/>
      <c r="BJ97" s="142"/>
      <c r="BK97" s="142"/>
      <c r="BL97" s="142"/>
      <c r="BM97" s="142"/>
      <c r="BN97" s="142"/>
      <c r="BO97" s="142"/>
      <c r="BP97" s="142"/>
      <c r="BQ97" s="142"/>
      <c r="BR97" s="142"/>
      <c r="BS97" s="142"/>
      <c r="BT97" s="142"/>
      <c r="BU97" s="142"/>
      <c r="BV97" s="142"/>
      <c r="BW97" s="142"/>
      <c r="BX97" s="142"/>
      <c r="BY97" s="141"/>
      <c r="BZ97" s="141"/>
      <c r="CA97" s="141"/>
      <c r="CB97" s="141"/>
      <c r="CC97" s="141"/>
      <c r="CD97" s="141"/>
      <c r="CE97" s="142"/>
      <c r="CF97" s="142"/>
      <c r="CG97" s="142"/>
      <c r="CH97" s="142"/>
      <c r="CI97" s="142"/>
      <c r="CJ97" s="142"/>
      <c r="CK97" s="142"/>
      <c r="CL97" s="142"/>
      <c r="CM97" s="142"/>
      <c r="CN97" s="142"/>
      <c r="CO97" s="142"/>
      <c r="CP97" s="142"/>
      <c r="CQ97" s="142"/>
    </row>
    <row r="98">
      <c r="A98" s="142"/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  <c r="AK98" s="142"/>
      <c r="AL98" s="142"/>
      <c r="AM98" s="142"/>
      <c r="AN98" s="142"/>
      <c r="AO98" s="142"/>
      <c r="AP98" s="142"/>
      <c r="AQ98" s="142"/>
      <c r="AR98" s="142"/>
      <c r="AS98" s="142"/>
      <c r="AT98" s="142"/>
      <c r="AU98" s="142"/>
      <c r="AV98" s="142"/>
      <c r="AW98" s="142"/>
      <c r="AX98" s="142"/>
      <c r="AY98" s="142"/>
      <c r="AZ98" s="142"/>
      <c r="BA98" s="142"/>
      <c r="BB98" s="142"/>
      <c r="BC98" s="142"/>
      <c r="BD98" s="142"/>
      <c r="BE98" s="142"/>
      <c r="BF98" s="142"/>
      <c r="BG98" s="142"/>
      <c r="BH98" s="142"/>
      <c r="BI98" s="142"/>
      <c r="BJ98" s="142"/>
      <c r="BK98" s="142"/>
      <c r="BL98" s="142"/>
      <c r="BM98" s="142"/>
      <c r="BN98" s="142"/>
      <c r="BO98" s="142"/>
      <c r="BP98" s="142"/>
      <c r="BQ98" s="142"/>
      <c r="BR98" s="142"/>
      <c r="BS98" s="142"/>
      <c r="BT98" s="142"/>
      <c r="BU98" s="142"/>
      <c r="BV98" s="142"/>
      <c r="BW98" s="142"/>
      <c r="BX98" s="142"/>
      <c r="BY98" s="141"/>
      <c r="BZ98" s="141"/>
      <c r="CA98" s="141"/>
      <c r="CB98" s="141"/>
      <c r="CC98" s="141"/>
      <c r="CD98" s="141"/>
      <c r="CE98" s="142"/>
      <c r="CF98" s="142"/>
      <c r="CG98" s="142"/>
      <c r="CH98" s="142"/>
      <c r="CI98" s="142"/>
      <c r="CJ98" s="142"/>
      <c r="CK98" s="142"/>
      <c r="CL98" s="142"/>
      <c r="CM98" s="142"/>
      <c r="CN98" s="142"/>
      <c r="CO98" s="142"/>
      <c r="CP98" s="142"/>
      <c r="CQ98" s="142"/>
    </row>
    <row r="99">
      <c r="A99" s="142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42"/>
      <c r="AL99" s="142"/>
      <c r="AM99" s="142"/>
      <c r="AN99" s="142"/>
      <c r="AO99" s="142"/>
      <c r="AP99" s="142"/>
      <c r="AQ99" s="142"/>
      <c r="AR99" s="142"/>
      <c r="AS99" s="142"/>
      <c r="AT99" s="142"/>
      <c r="AU99" s="142"/>
      <c r="AV99" s="142"/>
      <c r="AW99" s="142"/>
      <c r="AX99" s="142"/>
      <c r="AY99" s="142"/>
      <c r="AZ99" s="142"/>
      <c r="BA99" s="142"/>
      <c r="BB99" s="142"/>
      <c r="BC99" s="142"/>
      <c r="BD99" s="142"/>
      <c r="BE99" s="142"/>
      <c r="BF99" s="142"/>
      <c r="BG99" s="142"/>
      <c r="BH99" s="142"/>
      <c r="BI99" s="142"/>
      <c r="BJ99" s="142"/>
      <c r="BK99" s="142"/>
      <c r="BL99" s="142"/>
      <c r="BM99" s="142"/>
      <c r="BN99" s="142"/>
      <c r="BO99" s="142"/>
      <c r="BP99" s="142"/>
      <c r="BQ99" s="142"/>
      <c r="BR99" s="142"/>
      <c r="BS99" s="142"/>
      <c r="BT99" s="142"/>
      <c r="BU99" s="142"/>
      <c r="BV99" s="142"/>
      <c r="BW99" s="142"/>
      <c r="BX99" s="142"/>
      <c r="BY99" s="141"/>
      <c r="BZ99" s="141"/>
      <c r="CA99" s="141"/>
      <c r="CB99" s="141"/>
      <c r="CC99" s="141"/>
      <c r="CD99" s="141"/>
      <c r="CE99" s="142"/>
      <c r="CF99" s="142"/>
      <c r="CG99" s="142"/>
      <c r="CH99" s="142"/>
      <c r="CI99" s="142"/>
      <c r="CJ99" s="142"/>
      <c r="CK99" s="142"/>
      <c r="CL99" s="142"/>
      <c r="CM99" s="142"/>
      <c r="CN99" s="142"/>
      <c r="CO99" s="142"/>
      <c r="CP99" s="142"/>
      <c r="CQ99" s="142"/>
    </row>
    <row r="100">
      <c r="A100" s="142"/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  <c r="AK100" s="142"/>
      <c r="AL100" s="142"/>
      <c r="AM100" s="142"/>
      <c r="AN100" s="142"/>
      <c r="AO100" s="142"/>
      <c r="AP100" s="142"/>
      <c r="AQ100" s="142"/>
      <c r="AR100" s="142"/>
      <c r="AS100" s="142"/>
      <c r="AT100" s="142"/>
      <c r="AU100" s="142"/>
      <c r="AV100" s="142"/>
      <c r="AW100" s="142"/>
      <c r="AX100" s="142"/>
      <c r="AY100" s="142"/>
      <c r="AZ100" s="142"/>
      <c r="BA100" s="142"/>
      <c r="BB100" s="142"/>
      <c r="BC100" s="142"/>
      <c r="BD100" s="142"/>
      <c r="BE100" s="142"/>
      <c r="BF100" s="142"/>
      <c r="BG100" s="142"/>
      <c r="BH100" s="142"/>
      <c r="BI100" s="142"/>
      <c r="BJ100" s="142"/>
      <c r="BK100" s="142"/>
      <c r="BL100" s="142"/>
      <c r="BM100" s="142"/>
      <c r="BN100" s="142"/>
      <c r="BO100" s="142"/>
      <c r="BP100" s="142"/>
      <c r="BQ100" s="142"/>
      <c r="BR100" s="142"/>
      <c r="BS100" s="142"/>
      <c r="BT100" s="142"/>
      <c r="BU100" s="142"/>
      <c r="BV100" s="142"/>
      <c r="BW100" s="142"/>
      <c r="BX100" s="142"/>
      <c r="BY100" s="141"/>
      <c r="BZ100" s="141"/>
      <c r="CA100" s="141"/>
      <c r="CB100" s="141"/>
      <c r="CC100" s="141"/>
      <c r="CD100" s="141"/>
      <c r="CE100" s="142"/>
      <c r="CF100" s="142"/>
      <c r="CG100" s="142"/>
      <c r="CH100" s="142"/>
      <c r="CI100" s="142"/>
      <c r="CJ100" s="142"/>
      <c r="CK100" s="142"/>
      <c r="CL100" s="142"/>
      <c r="CM100" s="142"/>
      <c r="CN100" s="142"/>
      <c r="CO100" s="142"/>
      <c r="CP100" s="142"/>
      <c r="CQ100" s="142"/>
    </row>
    <row r="101">
      <c r="A101" s="142"/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42"/>
      <c r="AU101" s="142"/>
      <c r="AV101" s="142"/>
      <c r="AW101" s="142"/>
      <c r="AX101" s="142"/>
      <c r="AY101" s="142"/>
      <c r="AZ101" s="142"/>
      <c r="BA101" s="142"/>
      <c r="BB101" s="142"/>
      <c r="BC101" s="142"/>
      <c r="BD101" s="142"/>
      <c r="BE101" s="142"/>
      <c r="BF101" s="142"/>
      <c r="BG101" s="142"/>
      <c r="BH101" s="142"/>
      <c r="BI101" s="142"/>
      <c r="BJ101" s="142"/>
      <c r="BK101" s="142"/>
      <c r="BL101" s="142"/>
      <c r="BM101" s="142"/>
      <c r="BN101" s="142"/>
      <c r="BO101" s="142"/>
      <c r="BP101" s="142"/>
      <c r="BQ101" s="142"/>
      <c r="BR101" s="142"/>
      <c r="BS101" s="142"/>
      <c r="BT101" s="142"/>
      <c r="BU101" s="142"/>
      <c r="BV101" s="142"/>
      <c r="BW101" s="142"/>
      <c r="BX101" s="142"/>
      <c r="BY101" s="141"/>
      <c r="BZ101" s="141"/>
      <c r="CA101" s="141"/>
      <c r="CB101" s="141"/>
      <c r="CC101" s="141"/>
      <c r="CD101" s="141"/>
      <c r="CE101" s="142"/>
      <c r="CF101" s="142"/>
      <c r="CG101" s="142"/>
      <c r="CH101" s="142"/>
      <c r="CI101" s="142"/>
      <c r="CJ101" s="142"/>
      <c r="CK101" s="142"/>
      <c r="CL101" s="142"/>
      <c r="CM101" s="142"/>
      <c r="CN101" s="142"/>
      <c r="CO101" s="142"/>
      <c r="CP101" s="142"/>
      <c r="CQ101" s="142"/>
    </row>
    <row r="102">
      <c r="A102" s="142"/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  <c r="AM102" s="142"/>
      <c r="AN102" s="142"/>
      <c r="AO102" s="142"/>
      <c r="AP102" s="142"/>
      <c r="AQ102" s="142"/>
      <c r="AR102" s="142"/>
      <c r="AS102" s="142"/>
      <c r="AT102" s="142"/>
      <c r="AU102" s="142"/>
      <c r="AV102" s="142"/>
      <c r="AW102" s="142"/>
      <c r="AX102" s="142"/>
      <c r="AY102" s="142"/>
      <c r="AZ102" s="142"/>
      <c r="BA102" s="142"/>
      <c r="BB102" s="142"/>
      <c r="BC102" s="142"/>
      <c r="BD102" s="142"/>
      <c r="BE102" s="142"/>
      <c r="BF102" s="142"/>
      <c r="BG102" s="142"/>
      <c r="BH102" s="142"/>
      <c r="BI102" s="142"/>
      <c r="BJ102" s="142"/>
      <c r="BK102" s="142"/>
      <c r="BL102" s="142"/>
      <c r="BM102" s="142"/>
      <c r="BN102" s="142"/>
      <c r="BO102" s="142"/>
      <c r="BP102" s="142"/>
      <c r="BQ102" s="142"/>
      <c r="BR102" s="142"/>
      <c r="BS102" s="142"/>
      <c r="BT102" s="142"/>
      <c r="BU102" s="142"/>
      <c r="BV102" s="142"/>
      <c r="BW102" s="142"/>
      <c r="BX102" s="142"/>
      <c r="BY102" s="141"/>
      <c r="BZ102" s="141"/>
      <c r="CA102" s="141"/>
      <c r="CB102" s="141"/>
      <c r="CC102" s="141"/>
      <c r="CD102" s="141"/>
      <c r="CE102" s="142"/>
      <c r="CF102" s="142"/>
      <c r="CG102" s="142"/>
      <c r="CH102" s="142"/>
      <c r="CI102" s="142"/>
      <c r="CJ102" s="142"/>
      <c r="CK102" s="142"/>
      <c r="CL102" s="142"/>
      <c r="CM102" s="142"/>
      <c r="CN102" s="142"/>
      <c r="CO102" s="142"/>
      <c r="CP102" s="142"/>
      <c r="CQ102" s="142"/>
    </row>
    <row r="103">
      <c r="A103" s="142"/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2"/>
      <c r="AP103" s="142"/>
      <c r="AQ103" s="142"/>
      <c r="AR103" s="142"/>
      <c r="AS103" s="142"/>
      <c r="AT103" s="142"/>
      <c r="AU103" s="142"/>
      <c r="AV103" s="142"/>
      <c r="AW103" s="142"/>
      <c r="AX103" s="142"/>
      <c r="AY103" s="142"/>
      <c r="AZ103" s="142"/>
      <c r="BA103" s="142"/>
      <c r="BB103" s="142"/>
      <c r="BC103" s="142"/>
      <c r="BD103" s="142"/>
      <c r="BE103" s="142"/>
      <c r="BF103" s="142"/>
      <c r="BG103" s="142"/>
      <c r="BH103" s="142"/>
      <c r="BI103" s="142"/>
      <c r="BJ103" s="142"/>
      <c r="BK103" s="142"/>
      <c r="BL103" s="142"/>
      <c r="BM103" s="142"/>
      <c r="BN103" s="142"/>
      <c r="BO103" s="142"/>
      <c r="BP103" s="142"/>
      <c r="BQ103" s="142"/>
      <c r="BR103" s="142"/>
      <c r="BS103" s="142"/>
      <c r="BT103" s="142"/>
      <c r="BU103" s="142"/>
      <c r="BV103" s="142"/>
      <c r="BW103" s="142"/>
      <c r="BX103" s="142"/>
      <c r="BY103" s="141"/>
      <c r="BZ103" s="141"/>
      <c r="CA103" s="141"/>
      <c r="CB103" s="141"/>
      <c r="CC103" s="141"/>
      <c r="CD103" s="141"/>
      <c r="CE103" s="142"/>
      <c r="CF103" s="142"/>
      <c r="CG103" s="142"/>
      <c r="CH103" s="142"/>
      <c r="CI103" s="142"/>
      <c r="CJ103" s="142"/>
      <c r="CK103" s="142"/>
      <c r="CL103" s="142"/>
      <c r="CM103" s="142"/>
      <c r="CN103" s="142"/>
      <c r="CO103" s="142"/>
      <c r="CP103" s="142"/>
      <c r="CQ103" s="142"/>
    </row>
    <row r="104">
      <c r="A104" s="142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  <c r="AK104" s="142"/>
      <c r="AL104" s="142"/>
      <c r="AM104" s="142"/>
      <c r="AN104" s="142"/>
      <c r="AO104" s="142"/>
      <c r="AP104" s="142"/>
      <c r="AQ104" s="142"/>
      <c r="AR104" s="142"/>
      <c r="AS104" s="142"/>
      <c r="AT104" s="142"/>
      <c r="AU104" s="142"/>
      <c r="AV104" s="142"/>
      <c r="AW104" s="142"/>
      <c r="AX104" s="142"/>
      <c r="AY104" s="142"/>
      <c r="AZ104" s="142"/>
      <c r="BA104" s="142"/>
      <c r="BB104" s="142"/>
      <c r="BC104" s="142"/>
      <c r="BD104" s="142"/>
      <c r="BE104" s="142"/>
      <c r="BF104" s="142"/>
      <c r="BG104" s="142"/>
      <c r="BH104" s="142"/>
      <c r="BI104" s="142"/>
      <c r="BJ104" s="142"/>
      <c r="BK104" s="142"/>
      <c r="BL104" s="142"/>
      <c r="BM104" s="142"/>
      <c r="BN104" s="142"/>
      <c r="BO104" s="142"/>
      <c r="BP104" s="142"/>
      <c r="BQ104" s="142"/>
      <c r="BR104" s="142"/>
      <c r="BS104" s="142"/>
      <c r="BT104" s="142"/>
      <c r="BU104" s="142"/>
      <c r="BV104" s="142"/>
      <c r="BW104" s="142"/>
      <c r="BX104" s="142"/>
      <c r="BY104" s="141"/>
      <c r="BZ104" s="141"/>
      <c r="CA104" s="141"/>
      <c r="CB104" s="141"/>
      <c r="CC104" s="141"/>
      <c r="CD104" s="141"/>
      <c r="CE104" s="142"/>
      <c r="CF104" s="142"/>
      <c r="CG104" s="142"/>
      <c r="CH104" s="142"/>
      <c r="CI104" s="142"/>
      <c r="CJ104" s="142"/>
      <c r="CK104" s="142"/>
      <c r="CL104" s="142"/>
      <c r="CM104" s="142"/>
      <c r="CN104" s="142"/>
      <c r="CO104" s="142"/>
      <c r="CP104" s="142"/>
      <c r="CQ104" s="142"/>
    </row>
    <row r="105">
      <c r="A105" s="142"/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2"/>
      <c r="AM105" s="142"/>
      <c r="AN105" s="142"/>
      <c r="AO105" s="142"/>
      <c r="AP105" s="142"/>
      <c r="AQ105" s="142"/>
      <c r="AR105" s="142"/>
      <c r="AS105" s="142"/>
      <c r="AT105" s="142"/>
      <c r="AU105" s="142"/>
      <c r="AV105" s="142"/>
      <c r="AW105" s="142"/>
      <c r="AX105" s="142"/>
      <c r="AY105" s="142"/>
      <c r="AZ105" s="142"/>
      <c r="BA105" s="142"/>
      <c r="BB105" s="142"/>
      <c r="BC105" s="142"/>
      <c r="BD105" s="142"/>
      <c r="BE105" s="142"/>
      <c r="BF105" s="142"/>
      <c r="BG105" s="142"/>
      <c r="BH105" s="142"/>
      <c r="BI105" s="142"/>
      <c r="BJ105" s="142"/>
      <c r="BK105" s="142"/>
      <c r="BL105" s="142"/>
      <c r="BM105" s="142"/>
      <c r="BN105" s="142"/>
      <c r="BO105" s="142"/>
      <c r="BP105" s="142"/>
      <c r="BQ105" s="142"/>
      <c r="BR105" s="142"/>
      <c r="BS105" s="142"/>
      <c r="BT105" s="142"/>
      <c r="BU105" s="142"/>
      <c r="BV105" s="142"/>
      <c r="BW105" s="142"/>
      <c r="BX105" s="142"/>
      <c r="BY105" s="141"/>
      <c r="BZ105" s="141"/>
      <c r="CA105" s="141"/>
      <c r="CB105" s="141"/>
      <c r="CC105" s="141"/>
      <c r="CD105" s="141"/>
      <c r="CE105" s="142"/>
      <c r="CF105" s="142"/>
      <c r="CG105" s="142"/>
      <c r="CH105" s="142"/>
      <c r="CI105" s="142"/>
      <c r="CJ105" s="142"/>
      <c r="CK105" s="142"/>
      <c r="CL105" s="142"/>
      <c r="CM105" s="142"/>
      <c r="CN105" s="142"/>
      <c r="CO105" s="142"/>
      <c r="CP105" s="142"/>
      <c r="CQ105" s="142"/>
    </row>
    <row r="106">
      <c r="A106" s="142"/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2"/>
      <c r="AL106" s="142"/>
      <c r="AM106" s="142"/>
      <c r="AN106" s="142"/>
      <c r="AO106" s="142"/>
      <c r="AP106" s="142"/>
      <c r="AQ106" s="142"/>
      <c r="AR106" s="142"/>
      <c r="AS106" s="142"/>
      <c r="AT106" s="142"/>
      <c r="AU106" s="142"/>
      <c r="AV106" s="142"/>
      <c r="AW106" s="142"/>
      <c r="AX106" s="142"/>
      <c r="AY106" s="142"/>
      <c r="AZ106" s="142"/>
      <c r="BA106" s="142"/>
      <c r="BB106" s="142"/>
      <c r="BC106" s="142"/>
      <c r="BD106" s="142"/>
      <c r="BE106" s="142"/>
      <c r="BF106" s="142"/>
      <c r="BG106" s="142"/>
      <c r="BH106" s="142"/>
      <c r="BI106" s="142"/>
      <c r="BJ106" s="142"/>
      <c r="BK106" s="142"/>
      <c r="BL106" s="142"/>
      <c r="BM106" s="142"/>
      <c r="BN106" s="142"/>
      <c r="BO106" s="142"/>
      <c r="BP106" s="142"/>
      <c r="BQ106" s="142"/>
      <c r="BR106" s="142"/>
      <c r="BS106" s="142"/>
      <c r="BT106" s="142"/>
      <c r="BU106" s="142"/>
      <c r="BV106" s="142"/>
      <c r="BW106" s="142"/>
      <c r="BX106" s="142"/>
      <c r="BY106" s="141"/>
      <c r="BZ106" s="141"/>
      <c r="CA106" s="141"/>
      <c r="CB106" s="141"/>
      <c r="CC106" s="141"/>
      <c r="CD106" s="141"/>
      <c r="CE106" s="142"/>
      <c r="CF106" s="142"/>
      <c r="CG106" s="142"/>
      <c r="CH106" s="142"/>
      <c r="CI106" s="142"/>
      <c r="CJ106" s="142"/>
      <c r="CK106" s="142"/>
      <c r="CL106" s="142"/>
      <c r="CM106" s="142"/>
      <c r="CN106" s="142"/>
      <c r="CO106" s="142"/>
      <c r="CP106" s="142"/>
      <c r="CQ106" s="142"/>
    </row>
    <row r="107">
      <c r="A107" s="142"/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  <c r="BA107" s="142"/>
      <c r="BB107" s="142"/>
      <c r="BC107" s="142"/>
      <c r="BD107" s="142"/>
      <c r="BE107" s="142"/>
      <c r="BF107" s="142"/>
      <c r="BG107" s="142"/>
      <c r="BH107" s="142"/>
      <c r="BI107" s="142"/>
      <c r="BJ107" s="142"/>
      <c r="BK107" s="142"/>
      <c r="BL107" s="142"/>
      <c r="BM107" s="142"/>
      <c r="BN107" s="142"/>
      <c r="BO107" s="142"/>
      <c r="BP107" s="142"/>
      <c r="BQ107" s="142"/>
      <c r="BR107" s="142"/>
      <c r="BS107" s="142"/>
      <c r="BT107" s="142"/>
      <c r="BU107" s="142"/>
      <c r="BV107" s="142"/>
      <c r="BW107" s="142"/>
      <c r="BX107" s="142"/>
      <c r="BY107" s="141"/>
      <c r="BZ107" s="141"/>
      <c r="CA107" s="141"/>
      <c r="CB107" s="141"/>
      <c r="CC107" s="141"/>
      <c r="CD107" s="141"/>
      <c r="CE107" s="142"/>
      <c r="CF107" s="142"/>
      <c r="CG107" s="142"/>
      <c r="CH107" s="142"/>
      <c r="CI107" s="142"/>
      <c r="CJ107" s="142"/>
      <c r="CK107" s="142"/>
      <c r="CL107" s="142"/>
      <c r="CM107" s="142"/>
      <c r="CN107" s="142"/>
      <c r="CO107" s="142"/>
      <c r="CP107" s="142"/>
      <c r="CQ107" s="142"/>
    </row>
    <row r="108">
      <c r="A108" s="142"/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2"/>
      <c r="AL108" s="142"/>
      <c r="AM108" s="142"/>
      <c r="AN108" s="142"/>
      <c r="AO108" s="142"/>
      <c r="AP108" s="142"/>
      <c r="AQ108" s="142"/>
      <c r="AR108" s="142"/>
      <c r="AS108" s="142"/>
      <c r="AT108" s="142"/>
      <c r="AU108" s="142"/>
      <c r="AV108" s="142"/>
      <c r="AW108" s="142"/>
      <c r="AX108" s="142"/>
      <c r="AY108" s="142"/>
      <c r="AZ108" s="142"/>
      <c r="BA108" s="142"/>
      <c r="BB108" s="142"/>
      <c r="BC108" s="142"/>
      <c r="BD108" s="142"/>
      <c r="BE108" s="142"/>
      <c r="BF108" s="142"/>
      <c r="BG108" s="142"/>
      <c r="BH108" s="142"/>
      <c r="BI108" s="142"/>
      <c r="BJ108" s="142"/>
      <c r="BK108" s="142"/>
      <c r="BL108" s="142"/>
      <c r="BM108" s="142"/>
      <c r="BN108" s="142"/>
      <c r="BO108" s="142"/>
      <c r="BP108" s="142"/>
      <c r="BQ108" s="142"/>
      <c r="BR108" s="142"/>
      <c r="BS108" s="142"/>
      <c r="BT108" s="142"/>
      <c r="BU108" s="142"/>
      <c r="BV108" s="142"/>
      <c r="BW108" s="142"/>
      <c r="BX108" s="142"/>
      <c r="BY108" s="141"/>
      <c r="BZ108" s="141"/>
      <c r="CA108" s="141"/>
      <c r="CB108" s="141"/>
      <c r="CC108" s="141"/>
      <c r="CD108" s="141"/>
      <c r="CE108" s="142"/>
      <c r="CF108" s="142"/>
      <c r="CG108" s="142"/>
      <c r="CH108" s="142"/>
      <c r="CI108" s="142"/>
      <c r="CJ108" s="142"/>
      <c r="CK108" s="142"/>
      <c r="CL108" s="142"/>
      <c r="CM108" s="142"/>
      <c r="CN108" s="142"/>
      <c r="CO108" s="142"/>
      <c r="CP108" s="142"/>
      <c r="CQ108" s="142"/>
    </row>
    <row r="109">
      <c r="A109" s="142"/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  <c r="AK109" s="142"/>
      <c r="AL109" s="142"/>
      <c r="AM109" s="142"/>
      <c r="AN109" s="142"/>
      <c r="AO109" s="142"/>
      <c r="AP109" s="142"/>
      <c r="AQ109" s="142"/>
      <c r="AR109" s="142"/>
      <c r="AS109" s="142"/>
      <c r="AT109" s="142"/>
      <c r="AU109" s="142"/>
      <c r="AV109" s="142"/>
      <c r="AW109" s="142"/>
      <c r="AX109" s="142"/>
      <c r="AY109" s="142"/>
      <c r="AZ109" s="142"/>
      <c r="BA109" s="142"/>
      <c r="BB109" s="142"/>
      <c r="BC109" s="142"/>
      <c r="BD109" s="142"/>
      <c r="BE109" s="142"/>
      <c r="BF109" s="142"/>
      <c r="BG109" s="142"/>
      <c r="BH109" s="142"/>
      <c r="BI109" s="142"/>
      <c r="BJ109" s="142"/>
      <c r="BK109" s="142"/>
      <c r="BL109" s="142"/>
      <c r="BM109" s="142"/>
      <c r="BN109" s="142"/>
      <c r="BO109" s="142"/>
      <c r="BP109" s="142"/>
      <c r="BQ109" s="142"/>
      <c r="BR109" s="142"/>
      <c r="BS109" s="142"/>
      <c r="BT109" s="142"/>
      <c r="BU109" s="142"/>
      <c r="BV109" s="142"/>
      <c r="BW109" s="142"/>
      <c r="BX109" s="142"/>
      <c r="BY109" s="141"/>
      <c r="BZ109" s="141"/>
      <c r="CA109" s="141"/>
      <c r="CB109" s="141"/>
      <c r="CC109" s="141"/>
      <c r="CD109" s="141"/>
      <c r="CE109" s="142"/>
      <c r="CF109" s="142"/>
      <c r="CG109" s="142"/>
      <c r="CH109" s="142"/>
      <c r="CI109" s="142"/>
      <c r="CJ109" s="142"/>
      <c r="CK109" s="142"/>
      <c r="CL109" s="142"/>
      <c r="CM109" s="142"/>
      <c r="CN109" s="142"/>
      <c r="CO109" s="142"/>
      <c r="CP109" s="142"/>
      <c r="CQ109" s="142"/>
    </row>
    <row r="110">
      <c r="A110" s="142"/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  <c r="AK110" s="142"/>
      <c r="AL110" s="142"/>
      <c r="AM110" s="142"/>
      <c r="AN110" s="142"/>
      <c r="AO110" s="142"/>
      <c r="AP110" s="142"/>
      <c r="AQ110" s="142"/>
      <c r="AR110" s="142"/>
      <c r="AS110" s="142"/>
      <c r="AT110" s="142"/>
      <c r="AU110" s="142"/>
      <c r="AV110" s="142"/>
      <c r="AW110" s="142"/>
      <c r="AX110" s="142"/>
      <c r="AY110" s="142"/>
      <c r="AZ110" s="142"/>
      <c r="BA110" s="142"/>
      <c r="BB110" s="142"/>
      <c r="BC110" s="142"/>
      <c r="BD110" s="142"/>
      <c r="BE110" s="142"/>
      <c r="BF110" s="142"/>
      <c r="BG110" s="142"/>
      <c r="BH110" s="142"/>
      <c r="BI110" s="142"/>
      <c r="BJ110" s="142"/>
      <c r="BK110" s="142"/>
      <c r="BL110" s="142"/>
      <c r="BM110" s="142"/>
      <c r="BN110" s="142"/>
      <c r="BO110" s="142"/>
      <c r="BP110" s="142"/>
      <c r="BQ110" s="142"/>
      <c r="BR110" s="142"/>
      <c r="BS110" s="142"/>
      <c r="BT110" s="142"/>
      <c r="BU110" s="142"/>
      <c r="BV110" s="142"/>
      <c r="BW110" s="142"/>
      <c r="BX110" s="142"/>
      <c r="BY110" s="141"/>
      <c r="BZ110" s="141"/>
      <c r="CA110" s="141"/>
      <c r="CB110" s="141"/>
      <c r="CC110" s="141"/>
      <c r="CD110" s="141"/>
      <c r="CE110" s="142"/>
      <c r="CF110" s="142"/>
      <c r="CG110" s="142"/>
      <c r="CH110" s="142"/>
      <c r="CI110" s="142"/>
      <c r="CJ110" s="142"/>
      <c r="CK110" s="142"/>
      <c r="CL110" s="142"/>
      <c r="CM110" s="142"/>
      <c r="CN110" s="142"/>
      <c r="CO110" s="142"/>
      <c r="CP110" s="142"/>
      <c r="CQ110" s="142"/>
    </row>
    <row r="111">
      <c r="A111" s="142"/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  <c r="AK111" s="142"/>
      <c r="AL111" s="142"/>
      <c r="AM111" s="142"/>
      <c r="AN111" s="142"/>
      <c r="AO111" s="142"/>
      <c r="AP111" s="142"/>
      <c r="AQ111" s="142"/>
      <c r="AR111" s="142"/>
      <c r="AS111" s="142"/>
      <c r="AT111" s="142"/>
      <c r="AU111" s="142"/>
      <c r="AV111" s="142"/>
      <c r="AW111" s="142"/>
      <c r="AX111" s="142"/>
      <c r="AY111" s="142"/>
      <c r="AZ111" s="142"/>
      <c r="BA111" s="142"/>
      <c r="BB111" s="142"/>
      <c r="BC111" s="142"/>
      <c r="BD111" s="142"/>
      <c r="BE111" s="142"/>
      <c r="BF111" s="142"/>
      <c r="BG111" s="142"/>
      <c r="BH111" s="142"/>
      <c r="BI111" s="142"/>
      <c r="BJ111" s="142"/>
      <c r="BK111" s="142"/>
      <c r="BL111" s="142"/>
      <c r="BM111" s="142"/>
      <c r="BN111" s="142"/>
      <c r="BO111" s="142"/>
      <c r="BP111" s="142"/>
      <c r="BQ111" s="142"/>
      <c r="BR111" s="142"/>
      <c r="BS111" s="142"/>
      <c r="BT111" s="142"/>
      <c r="BU111" s="142"/>
      <c r="BV111" s="142"/>
      <c r="BW111" s="142"/>
      <c r="BX111" s="142"/>
      <c r="BY111" s="141"/>
      <c r="BZ111" s="141"/>
      <c r="CA111" s="141"/>
      <c r="CB111" s="141"/>
      <c r="CC111" s="141"/>
      <c r="CD111" s="141"/>
      <c r="CE111" s="142"/>
      <c r="CF111" s="142"/>
      <c r="CG111" s="142"/>
      <c r="CH111" s="142"/>
      <c r="CI111" s="142"/>
      <c r="CJ111" s="142"/>
      <c r="CK111" s="142"/>
      <c r="CL111" s="142"/>
      <c r="CM111" s="142"/>
      <c r="CN111" s="142"/>
      <c r="CO111" s="142"/>
      <c r="CP111" s="142"/>
      <c r="CQ111" s="142"/>
    </row>
    <row r="112">
      <c r="A112" s="142"/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  <c r="AA112" s="142"/>
      <c r="AB112" s="142"/>
      <c r="AC112" s="142"/>
      <c r="AD112" s="142"/>
      <c r="AE112" s="142"/>
      <c r="AF112" s="142"/>
      <c r="AG112" s="142"/>
      <c r="AH112" s="142"/>
      <c r="AI112" s="142"/>
      <c r="AJ112" s="142"/>
      <c r="AK112" s="142"/>
      <c r="AL112" s="142"/>
      <c r="AM112" s="142"/>
      <c r="AN112" s="142"/>
      <c r="AO112" s="142"/>
      <c r="AP112" s="142"/>
      <c r="AQ112" s="142"/>
      <c r="AR112" s="142"/>
      <c r="AS112" s="142"/>
      <c r="AT112" s="142"/>
      <c r="AU112" s="142"/>
      <c r="AV112" s="142"/>
      <c r="AW112" s="142"/>
      <c r="AX112" s="142"/>
      <c r="AY112" s="142"/>
      <c r="AZ112" s="142"/>
      <c r="BA112" s="142"/>
      <c r="BB112" s="142"/>
      <c r="BC112" s="142"/>
      <c r="BD112" s="142"/>
      <c r="BE112" s="142"/>
      <c r="BF112" s="142"/>
      <c r="BG112" s="142"/>
      <c r="BH112" s="142"/>
      <c r="BI112" s="142"/>
      <c r="BJ112" s="142"/>
      <c r="BK112" s="142"/>
      <c r="BL112" s="142"/>
      <c r="BM112" s="142"/>
      <c r="BN112" s="142"/>
      <c r="BO112" s="142"/>
      <c r="BP112" s="142"/>
      <c r="BQ112" s="142"/>
      <c r="BR112" s="142"/>
      <c r="BS112" s="142"/>
      <c r="BT112" s="142"/>
      <c r="BU112" s="142"/>
      <c r="BV112" s="142"/>
      <c r="BW112" s="142"/>
      <c r="BX112" s="142"/>
      <c r="BY112" s="141"/>
      <c r="BZ112" s="141"/>
      <c r="CA112" s="141"/>
      <c r="CB112" s="141"/>
      <c r="CC112" s="141"/>
      <c r="CD112" s="141"/>
      <c r="CE112" s="142"/>
      <c r="CF112" s="142"/>
      <c r="CG112" s="142"/>
      <c r="CH112" s="142"/>
      <c r="CI112" s="142"/>
      <c r="CJ112" s="142"/>
      <c r="CK112" s="142"/>
      <c r="CL112" s="142"/>
      <c r="CM112" s="142"/>
      <c r="CN112" s="142"/>
      <c r="CO112" s="142"/>
      <c r="CP112" s="142"/>
      <c r="CQ112" s="142"/>
    </row>
    <row r="113">
      <c r="A113" s="142"/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  <c r="AK113" s="142"/>
      <c r="AL113" s="142"/>
      <c r="AM113" s="142"/>
      <c r="AN113" s="142"/>
      <c r="AO113" s="142"/>
      <c r="AP113" s="142"/>
      <c r="AQ113" s="142"/>
      <c r="AR113" s="142"/>
      <c r="AS113" s="142"/>
      <c r="AT113" s="142"/>
      <c r="AU113" s="142"/>
      <c r="AV113" s="142"/>
      <c r="AW113" s="142"/>
      <c r="AX113" s="142"/>
      <c r="AY113" s="142"/>
      <c r="AZ113" s="142"/>
      <c r="BA113" s="142"/>
      <c r="BB113" s="142"/>
      <c r="BC113" s="142"/>
      <c r="BD113" s="142"/>
      <c r="BE113" s="142"/>
      <c r="BF113" s="142"/>
      <c r="BG113" s="142"/>
      <c r="BH113" s="142"/>
      <c r="BI113" s="142"/>
      <c r="BJ113" s="142"/>
      <c r="BK113" s="142"/>
      <c r="BL113" s="142"/>
      <c r="BM113" s="142"/>
      <c r="BN113" s="142"/>
      <c r="BO113" s="142"/>
      <c r="BP113" s="142"/>
      <c r="BQ113" s="142"/>
      <c r="BR113" s="142"/>
      <c r="BS113" s="142"/>
      <c r="BT113" s="142"/>
      <c r="BU113" s="142"/>
      <c r="BV113" s="142"/>
      <c r="BW113" s="142"/>
      <c r="BX113" s="142"/>
      <c r="BY113" s="141"/>
      <c r="BZ113" s="141"/>
      <c r="CA113" s="141"/>
      <c r="CB113" s="141"/>
      <c r="CC113" s="141"/>
      <c r="CD113" s="141"/>
      <c r="CE113" s="142"/>
      <c r="CF113" s="142"/>
      <c r="CG113" s="142"/>
      <c r="CH113" s="142"/>
      <c r="CI113" s="142"/>
      <c r="CJ113" s="142"/>
      <c r="CK113" s="142"/>
      <c r="CL113" s="142"/>
      <c r="CM113" s="142"/>
      <c r="CN113" s="142"/>
      <c r="CO113" s="142"/>
      <c r="CP113" s="142"/>
      <c r="CQ113" s="142"/>
    </row>
    <row r="114">
      <c r="A114" s="142"/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  <c r="AK114" s="142"/>
      <c r="AL114" s="142"/>
      <c r="AM114" s="142"/>
      <c r="AN114" s="142"/>
      <c r="AO114" s="142"/>
      <c r="AP114" s="142"/>
      <c r="AQ114" s="142"/>
      <c r="AR114" s="142"/>
      <c r="AS114" s="142"/>
      <c r="AT114" s="142"/>
      <c r="AU114" s="142"/>
      <c r="AV114" s="142"/>
      <c r="AW114" s="142"/>
      <c r="AX114" s="142"/>
      <c r="AY114" s="142"/>
      <c r="AZ114" s="142"/>
      <c r="BA114" s="142"/>
      <c r="BB114" s="142"/>
      <c r="BC114" s="142"/>
      <c r="BD114" s="142"/>
      <c r="BE114" s="142"/>
      <c r="BF114" s="142"/>
      <c r="BG114" s="142"/>
      <c r="BH114" s="142"/>
      <c r="BI114" s="142"/>
      <c r="BJ114" s="142"/>
      <c r="BK114" s="142"/>
      <c r="BL114" s="142"/>
      <c r="BM114" s="142"/>
      <c r="BN114" s="142"/>
      <c r="BO114" s="142"/>
      <c r="BP114" s="142"/>
      <c r="BQ114" s="142"/>
      <c r="BR114" s="142"/>
      <c r="BS114" s="142"/>
      <c r="BT114" s="142"/>
      <c r="BU114" s="142"/>
      <c r="BV114" s="142"/>
      <c r="BW114" s="142"/>
      <c r="BX114" s="142"/>
      <c r="BY114" s="141"/>
      <c r="BZ114" s="141"/>
      <c r="CA114" s="141"/>
      <c r="CB114" s="141"/>
      <c r="CC114" s="141"/>
      <c r="CD114" s="141"/>
      <c r="CE114" s="142"/>
      <c r="CF114" s="142"/>
      <c r="CG114" s="142"/>
      <c r="CH114" s="142"/>
      <c r="CI114" s="142"/>
      <c r="CJ114" s="142"/>
      <c r="CK114" s="142"/>
      <c r="CL114" s="142"/>
      <c r="CM114" s="142"/>
      <c r="CN114" s="142"/>
      <c r="CO114" s="142"/>
      <c r="CP114" s="142"/>
      <c r="CQ114" s="142"/>
    </row>
    <row r="115">
      <c r="A115" s="142"/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142"/>
      <c r="AH115" s="142"/>
      <c r="AI115" s="142"/>
      <c r="AJ115" s="142"/>
      <c r="AK115" s="142"/>
      <c r="AL115" s="142"/>
      <c r="AM115" s="142"/>
      <c r="AN115" s="142"/>
      <c r="AO115" s="142"/>
      <c r="AP115" s="142"/>
      <c r="AQ115" s="142"/>
      <c r="AR115" s="142"/>
      <c r="AS115" s="142"/>
      <c r="AT115" s="142"/>
      <c r="AU115" s="142"/>
      <c r="AV115" s="142"/>
      <c r="AW115" s="142"/>
      <c r="AX115" s="142"/>
      <c r="AY115" s="142"/>
      <c r="AZ115" s="142"/>
      <c r="BA115" s="142"/>
      <c r="BB115" s="142"/>
      <c r="BC115" s="142"/>
      <c r="BD115" s="142"/>
      <c r="BE115" s="142"/>
      <c r="BF115" s="142"/>
      <c r="BG115" s="142"/>
      <c r="BH115" s="142"/>
      <c r="BI115" s="142"/>
      <c r="BJ115" s="142"/>
      <c r="BK115" s="142"/>
      <c r="BL115" s="142"/>
      <c r="BM115" s="142"/>
      <c r="BN115" s="142"/>
      <c r="BO115" s="142"/>
      <c r="BP115" s="142"/>
      <c r="BQ115" s="142"/>
      <c r="BR115" s="142"/>
      <c r="BS115" s="142"/>
      <c r="BT115" s="142"/>
      <c r="BU115" s="142"/>
      <c r="BV115" s="142"/>
      <c r="BW115" s="142"/>
      <c r="BX115" s="142"/>
      <c r="BY115" s="141"/>
      <c r="BZ115" s="141"/>
      <c r="CA115" s="141"/>
      <c r="CB115" s="141"/>
      <c r="CC115" s="141"/>
      <c r="CD115" s="141"/>
      <c r="CE115" s="142"/>
      <c r="CF115" s="142"/>
      <c r="CG115" s="142"/>
      <c r="CH115" s="142"/>
      <c r="CI115" s="142"/>
      <c r="CJ115" s="142"/>
      <c r="CK115" s="142"/>
      <c r="CL115" s="142"/>
      <c r="CM115" s="142"/>
      <c r="CN115" s="142"/>
      <c r="CO115" s="142"/>
      <c r="CP115" s="142"/>
      <c r="CQ115" s="142"/>
    </row>
    <row r="116">
      <c r="A116" s="142"/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142"/>
      <c r="AJ116" s="142"/>
      <c r="AK116" s="142"/>
      <c r="AL116" s="142"/>
      <c r="AM116" s="142"/>
      <c r="AN116" s="142"/>
      <c r="AO116" s="142"/>
      <c r="AP116" s="142"/>
      <c r="AQ116" s="142"/>
      <c r="AR116" s="142"/>
      <c r="AS116" s="142"/>
      <c r="AT116" s="142"/>
      <c r="AU116" s="142"/>
      <c r="AV116" s="142"/>
      <c r="AW116" s="142"/>
      <c r="AX116" s="142"/>
      <c r="AY116" s="142"/>
      <c r="AZ116" s="142"/>
      <c r="BA116" s="142"/>
      <c r="BB116" s="142"/>
      <c r="BC116" s="142"/>
      <c r="BD116" s="142"/>
      <c r="BE116" s="142"/>
      <c r="BF116" s="142"/>
      <c r="BG116" s="142"/>
      <c r="BH116" s="142"/>
      <c r="BI116" s="142"/>
      <c r="BJ116" s="142"/>
      <c r="BK116" s="142"/>
      <c r="BL116" s="142"/>
      <c r="BM116" s="142"/>
      <c r="BN116" s="142"/>
      <c r="BO116" s="142"/>
      <c r="BP116" s="142"/>
      <c r="BQ116" s="142"/>
      <c r="BR116" s="142"/>
      <c r="BS116" s="142"/>
      <c r="BT116" s="142"/>
      <c r="BU116" s="142"/>
      <c r="BV116" s="142"/>
      <c r="BW116" s="142"/>
      <c r="BX116" s="142"/>
      <c r="BY116" s="141"/>
      <c r="BZ116" s="141"/>
      <c r="CA116" s="141"/>
      <c r="CB116" s="141"/>
      <c r="CC116" s="141"/>
      <c r="CD116" s="141"/>
      <c r="CE116" s="142"/>
      <c r="CF116" s="142"/>
      <c r="CG116" s="142"/>
      <c r="CH116" s="142"/>
      <c r="CI116" s="142"/>
      <c r="CJ116" s="142"/>
      <c r="CK116" s="142"/>
      <c r="CL116" s="142"/>
      <c r="CM116" s="142"/>
      <c r="CN116" s="142"/>
      <c r="CO116" s="142"/>
      <c r="CP116" s="142"/>
      <c r="CQ116" s="142"/>
    </row>
    <row r="117">
      <c r="A117" s="142"/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2"/>
      <c r="AG117" s="142"/>
      <c r="AH117" s="142"/>
      <c r="AI117" s="142"/>
      <c r="AJ117" s="142"/>
      <c r="AK117" s="142"/>
      <c r="AL117" s="142"/>
      <c r="AM117" s="142"/>
      <c r="AN117" s="142"/>
      <c r="AO117" s="142"/>
      <c r="AP117" s="142"/>
      <c r="AQ117" s="142"/>
      <c r="AR117" s="142"/>
      <c r="AS117" s="142"/>
      <c r="AT117" s="142"/>
      <c r="AU117" s="142"/>
      <c r="AV117" s="142"/>
      <c r="AW117" s="142"/>
      <c r="AX117" s="142"/>
      <c r="AY117" s="142"/>
      <c r="AZ117" s="142"/>
      <c r="BA117" s="142"/>
      <c r="BB117" s="142"/>
      <c r="BC117" s="142"/>
      <c r="BD117" s="142"/>
      <c r="BE117" s="142"/>
      <c r="BF117" s="142"/>
      <c r="BG117" s="142"/>
      <c r="BH117" s="142"/>
      <c r="BI117" s="142"/>
      <c r="BJ117" s="142"/>
      <c r="BK117" s="142"/>
      <c r="BL117" s="142"/>
      <c r="BM117" s="142"/>
      <c r="BN117" s="142"/>
      <c r="BO117" s="142"/>
      <c r="BP117" s="142"/>
      <c r="BQ117" s="142"/>
      <c r="BR117" s="142"/>
      <c r="BS117" s="142"/>
      <c r="BT117" s="142"/>
      <c r="BU117" s="142"/>
      <c r="BV117" s="142"/>
      <c r="BW117" s="142"/>
      <c r="BX117" s="142"/>
      <c r="BY117" s="141"/>
      <c r="BZ117" s="141"/>
      <c r="CA117" s="141"/>
      <c r="CB117" s="141"/>
      <c r="CC117" s="141"/>
      <c r="CD117" s="141"/>
      <c r="CE117" s="142"/>
      <c r="CF117" s="142"/>
      <c r="CG117" s="142"/>
      <c r="CH117" s="142"/>
      <c r="CI117" s="142"/>
      <c r="CJ117" s="142"/>
      <c r="CK117" s="142"/>
      <c r="CL117" s="142"/>
      <c r="CM117" s="142"/>
      <c r="CN117" s="142"/>
      <c r="CO117" s="142"/>
      <c r="CP117" s="142"/>
      <c r="CQ117" s="142"/>
    </row>
    <row r="118">
      <c r="A118" s="142"/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  <c r="AF118" s="142"/>
      <c r="AG118" s="142"/>
      <c r="AH118" s="142"/>
      <c r="AI118" s="142"/>
      <c r="AJ118" s="142"/>
      <c r="AK118" s="142"/>
      <c r="AL118" s="142"/>
      <c r="AM118" s="142"/>
      <c r="AN118" s="142"/>
      <c r="AO118" s="142"/>
      <c r="AP118" s="142"/>
      <c r="AQ118" s="142"/>
      <c r="AR118" s="142"/>
      <c r="AS118" s="142"/>
      <c r="AT118" s="142"/>
      <c r="AU118" s="142"/>
      <c r="AV118" s="142"/>
      <c r="AW118" s="142"/>
      <c r="AX118" s="142"/>
      <c r="AY118" s="142"/>
      <c r="AZ118" s="142"/>
      <c r="BA118" s="142"/>
      <c r="BB118" s="142"/>
      <c r="BC118" s="142"/>
      <c r="BD118" s="142"/>
      <c r="BE118" s="142"/>
      <c r="BF118" s="142"/>
      <c r="BG118" s="142"/>
      <c r="BH118" s="142"/>
      <c r="BI118" s="142"/>
      <c r="BJ118" s="142"/>
      <c r="BK118" s="142"/>
      <c r="BL118" s="142"/>
      <c r="BM118" s="142"/>
      <c r="BN118" s="142"/>
      <c r="BO118" s="142"/>
      <c r="BP118" s="142"/>
      <c r="BQ118" s="142"/>
      <c r="BR118" s="142"/>
      <c r="BS118" s="142"/>
      <c r="BT118" s="142"/>
      <c r="BU118" s="142"/>
      <c r="BV118" s="142"/>
      <c r="BW118" s="142"/>
      <c r="BX118" s="142"/>
      <c r="BY118" s="141"/>
      <c r="BZ118" s="141"/>
      <c r="CA118" s="141"/>
      <c r="CB118" s="141"/>
      <c r="CC118" s="141"/>
      <c r="CD118" s="141"/>
      <c r="CE118" s="142"/>
      <c r="CF118" s="142"/>
      <c r="CG118" s="142"/>
      <c r="CH118" s="142"/>
      <c r="CI118" s="142"/>
      <c r="CJ118" s="142"/>
      <c r="CK118" s="142"/>
      <c r="CL118" s="142"/>
      <c r="CM118" s="142"/>
      <c r="CN118" s="142"/>
      <c r="CO118" s="142"/>
      <c r="CP118" s="142"/>
      <c r="CQ118" s="142"/>
    </row>
    <row r="119">
      <c r="A119" s="142"/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2"/>
      <c r="AG119" s="142"/>
      <c r="AH119" s="142"/>
      <c r="AI119" s="142"/>
      <c r="AJ119" s="142"/>
      <c r="AK119" s="142"/>
      <c r="AL119" s="142"/>
      <c r="AM119" s="142"/>
      <c r="AN119" s="142"/>
      <c r="AO119" s="142"/>
      <c r="AP119" s="142"/>
      <c r="AQ119" s="142"/>
      <c r="AR119" s="142"/>
      <c r="AS119" s="142"/>
      <c r="AT119" s="142"/>
      <c r="AU119" s="142"/>
      <c r="AV119" s="142"/>
      <c r="AW119" s="142"/>
      <c r="AX119" s="142"/>
      <c r="AY119" s="142"/>
      <c r="AZ119" s="142"/>
      <c r="BA119" s="142"/>
      <c r="BB119" s="142"/>
      <c r="BC119" s="142"/>
      <c r="BD119" s="142"/>
      <c r="BE119" s="142"/>
      <c r="BF119" s="142"/>
      <c r="BG119" s="142"/>
      <c r="BH119" s="142"/>
      <c r="BI119" s="142"/>
      <c r="BJ119" s="142"/>
      <c r="BK119" s="142"/>
      <c r="BL119" s="142"/>
      <c r="BM119" s="142"/>
      <c r="BN119" s="142"/>
      <c r="BO119" s="142"/>
      <c r="BP119" s="142"/>
      <c r="BQ119" s="142"/>
      <c r="BR119" s="142"/>
      <c r="BS119" s="142"/>
      <c r="BT119" s="142"/>
      <c r="BU119" s="142"/>
      <c r="BV119" s="142"/>
      <c r="BW119" s="142"/>
      <c r="BX119" s="142"/>
      <c r="BY119" s="141"/>
      <c r="BZ119" s="141"/>
      <c r="CA119" s="141"/>
      <c r="CB119" s="141"/>
      <c r="CC119" s="141"/>
      <c r="CD119" s="141"/>
      <c r="CE119" s="142"/>
      <c r="CF119" s="142"/>
      <c r="CG119" s="142"/>
      <c r="CH119" s="142"/>
      <c r="CI119" s="142"/>
      <c r="CJ119" s="142"/>
      <c r="CK119" s="142"/>
      <c r="CL119" s="142"/>
      <c r="CM119" s="142"/>
      <c r="CN119" s="142"/>
      <c r="CO119" s="142"/>
      <c r="CP119" s="142"/>
      <c r="CQ119" s="142"/>
    </row>
    <row r="120">
      <c r="A120" s="142"/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  <c r="AA120" s="142"/>
      <c r="AB120" s="142"/>
      <c r="AC120" s="142"/>
      <c r="AD120" s="142"/>
      <c r="AE120" s="142"/>
      <c r="AF120" s="142"/>
      <c r="AG120" s="142"/>
      <c r="AH120" s="142"/>
      <c r="AI120" s="142"/>
      <c r="AJ120" s="142"/>
      <c r="AK120" s="142"/>
      <c r="AL120" s="142"/>
      <c r="AM120" s="142"/>
      <c r="AN120" s="142"/>
      <c r="AO120" s="142"/>
      <c r="AP120" s="142"/>
      <c r="AQ120" s="142"/>
      <c r="AR120" s="142"/>
      <c r="AS120" s="142"/>
      <c r="AT120" s="142"/>
      <c r="AU120" s="142"/>
      <c r="AV120" s="142"/>
      <c r="AW120" s="142"/>
      <c r="AX120" s="142"/>
      <c r="AY120" s="142"/>
      <c r="AZ120" s="142"/>
      <c r="BA120" s="142"/>
      <c r="BB120" s="142"/>
      <c r="BC120" s="142"/>
      <c r="BD120" s="142"/>
      <c r="BE120" s="142"/>
      <c r="BF120" s="142"/>
      <c r="BG120" s="142"/>
      <c r="BH120" s="142"/>
      <c r="BI120" s="142"/>
      <c r="BJ120" s="142"/>
      <c r="BK120" s="142"/>
      <c r="BL120" s="142"/>
      <c r="BM120" s="142"/>
      <c r="BN120" s="142"/>
      <c r="BO120" s="142"/>
      <c r="BP120" s="142"/>
      <c r="BQ120" s="142"/>
      <c r="BR120" s="142"/>
      <c r="BS120" s="142"/>
      <c r="BT120" s="142"/>
      <c r="BU120" s="142"/>
      <c r="BV120" s="142"/>
      <c r="BW120" s="142"/>
      <c r="BX120" s="142"/>
      <c r="BY120" s="141"/>
      <c r="BZ120" s="141"/>
      <c r="CA120" s="141"/>
      <c r="CB120" s="141"/>
      <c r="CC120" s="141"/>
      <c r="CD120" s="141"/>
      <c r="CE120" s="142"/>
      <c r="CF120" s="142"/>
      <c r="CG120" s="142"/>
      <c r="CH120" s="142"/>
      <c r="CI120" s="142"/>
      <c r="CJ120" s="142"/>
      <c r="CK120" s="142"/>
      <c r="CL120" s="142"/>
      <c r="CM120" s="142"/>
      <c r="CN120" s="142"/>
      <c r="CO120" s="142"/>
      <c r="CP120" s="142"/>
      <c r="CQ120" s="142"/>
    </row>
    <row r="121">
      <c r="A121" s="142"/>
      <c r="B121" s="142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2"/>
      <c r="AF121" s="142"/>
      <c r="AG121" s="142"/>
      <c r="AH121" s="142"/>
      <c r="AI121" s="142"/>
      <c r="AJ121" s="142"/>
      <c r="AK121" s="142"/>
      <c r="AL121" s="142"/>
      <c r="AM121" s="142"/>
      <c r="AN121" s="142"/>
      <c r="AO121" s="142"/>
      <c r="AP121" s="142"/>
      <c r="AQ121" s="142"/>
      <c r="AR121" s="142"/>
      <c r="AS121" s="142"/>
      <c r="AT121" s="142"/>
      <c r="AU121" s="142"/>
      <c r="AV121" s="142"/>
      <c r="AW121" s="142"/>
      <c r="AX121" s="142"/>
      <c r="AY121" s="142"/>
      <c r="AZ121" s="142"/>
      <c r="BA121" s="142"/>
      <c r="BB121" s="142"/>
      <c r="BC121" s="142"/>
      <c r="BD121" s="142"/>
      <c r="BE121" s="142"/>
      <c r="BF121" s="142"/>
      <c r="BG121" s="142"/>
      <c r="BH121" s="142"/>
      <c r="BI121" s="142"/>
      <c r="BJ121" s="142"/>
      <c r="BK121" s="142"/>
      <c r="BL121" s="142"/>
      <c r="BM121" s="142"/>
      <c r="BN121" s="142"/>
      <c r="BO121" s="142"/>
      <c r="BP121" s="142"/>
      <c r="BQ121" s="142"/>
      <c r="BR121" s="142"/>
      <c r="BS121" s="142"/>
      <c r="BT121" s="142"/>
      <c r="BU121" s="142"/>
      <c r="BV121" s="142"/>
      <c r="BW121" s="142"/>
      <c r="BX121" s="142"/>
      <c r="BY121" s="141"/>
      <c r="BZ121" s="141"/>
      <c r="CA121" s="141"/>
      <c r="CB121" s="141"/>
      <c r="CC121" s="141"/>
      <c r="CD121" s="141"/>
      <c r="CE121" s="142"/>
      <c r="CF121" s="142"/>
      <c r="CG121" s="142"/>
      <c r="CH121" s="142"/>
      <c r="CI121" s="142"/>
      <c r="CJ121" s="142"/>
      <c r="CK121" s="142"/>
      <c r="CL121" s="142"/>
      <c r="CM121" s="142"/>
      <c r="CN121" s="142"/>
      <c r="CO121" s="142"/>
      <c r="CP121" s="142"/>
      <c r="CQ121" s="142"/>
    </row>
    <row r="122">
      <c r="A122" s="142"/>
      <c r="B122" s="142"/>
      <c r="C122" s="14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  <c r="AA122" s="142"/>
      <c r="AB122" s="142"/>
      <c r="AC122" s="142"/>
      <c r="AD122" s="142"/>
      <c r="AE122" s="142"/>
      <c r="AF122" s="142"/>
      <c r="AG122" s="142"/>
      <c r="AH122" s="142"/>
      <c r="AI122" s="142"/>
      <c r="AJ122" s="142"/>
      <c r="AK122" s="142"/>
      <c r="AL122" s="142"/>
      <c r="AM122" s="142"/>
      <c r="AN122" s="142"/>
      <c r="AO122" s="142"/>
      <c r="AP122" s="142"/>
      <c r="AQ122" s="142"/>
      <c r="AR122" s="142"/>
      <c r="AS122" s="142"/>
      <c r="AT122" s="142"/>
      <c r="AU122" s="142"/>
      <c r="AV122" s="142"/>
      <c r="AW122" s="142"/>
      <c r="AX122" s="142"/>
      <c r="AY122" s="142"/>
      <c r="AZ122" s="142"/>
      <c r="BA122" s="142"/>
      <c r="BB122" s="142"/>
      <c r="BC122" s="142"/>
      <c r="BD122" s="142"/>
      <c r="BE122" s="142"/>
      <c r="BF122" s="142"/>
      <c r="BG122" s="142"/>
      <c r="BH122" s="142"/>
      <c r="BI122" s="142"/>
      <c r="BJ122" s="142"/>
      <c r="BK122" s="142"/>
      <c r="BL122" s="142"/>
      <c r="BM122" s="142"/>
      <c r="BN122" s="142"/>
      <c r="BO122" s="142"/>
      <c r="BP122" s="142"/>
      <c r="BQ122" s="142"/>
      <c r="BR122" s="142"/>
      <c r="BS122" s="142"/>
      <c r="BT122" s="142"/>
      <c r="BU122" s="142"/>
      <c r="BV122" s="142"/>
      <c r="BW122" s="142"/>
      <c r="BX122" s="142"/>
      <c r="BY122" s="141"/>
      <c r="BZ122" s="141"/>
      <c r="CA122" s="141"/>
      <c r="CB122" s="141"/>
      <c r="CC122" s="141"/>
      <c r="CD122" s="141"/>
      <c r="CE122" s="142"/>
      <c r="CF122" s="142"/>
      <c r="CG122" s="142"/>
      <c r="CH122" s="142"/>
      <c r="CI122" s="142"/>
      <c r="CJ122" s="142"/>
      <c r="CK122" s="142"/>
      <c r="CL122" s="142"/>
      <c r="CM122" s="142"/>
      <c r="CN122" s="142"/>
      <c r="CO122" s="142"/>
      <c r="CP122" s="142"/>
      <c r="CQ122" s="142"/>
    </row>
    <row r="123">
      <c r="A123" s="142"/>
      <c r="B123" s="142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  <c r="AA123" s="142"/>
      <c r="AB123" s="142"/>
      <c r="AC123" s="142"/>
      <c r="AD123" s="142"/>
      <c r="AE123" s="142"/>
      <c r="AF123" s="142"/>
      <c r="AG123" s="142"/>
      <c r="AH123" s="142"/>
      <c r="AI123" s="142"/>
      <c r="AJ123" s="142"/>
      <c r="AK123" s="142"/>
      <c r="AL123" s="142"/>
      <c r="AM123" s="142"/>
      <c r="AN123" s="142"/>
      <c r="AO123" s="142"/>
      <c r="AP123" s="142"/>
      <c r="AQ123" s="142"/>
      <c r="AR123" s="142"/>
      <c r="AS123" s="142"/>
      <c r="AT123" s="142"/>
      <c r="AU123" s="142"/>
      <c r="AV123" s="142"/>
      <c r="AW123" s="142"/>
      <c r="AX123" s="142"/>
      <c r="AY123" s="142"/>
      <c r="AZ123" s="142"/>
      <c r="BA123" s="142"/>
      <c r="BB123" s="142"/>
      <c r="BC123" s="142"/>
      <c r="BD123" s="142"/>
      <c r="BE123" s="142"/>
      <c r="BF123" s="142"/>
      <c r="BG123" s="142"/>
      <c r="BH123" s="142"/>
      <c r="BI123" s="142"/>
      <c r="BJ123" s="142"/>
      <c r="BK123" s="142"/>
      <c r="BL123" s="142"/>
      <c r="BM123" s="142"/>
      <c r="BN123" s="142"/>
      <c r="BO123" s="142"/>
      <c r="BP123" s="142"/>
      <c r="BQ123" s="142"/>
      <c r="BR123" s="142"/>
      <c r="BS123" s="142"/>
      <c r="BT123" s="142"/>
      <c r="BU123" s="142"/>
      <c r="BV123" s="142"/>
      <c r="BW123" s="142"/>
      <c r="BX123" s="142"/>
      <c r="BY123" s="141"/>
      <c r="BZ123" s="141"/>
      <c r="CA123" s="141"/>
      <c r="CB123" s="141"/>
      <c r="CC123" s="141"/>
      <c r="CD123" s="141"/>
      <c r="CE123" s="142"/>
      <c r="CF123" s="142"/>
      <c r="CG123" s="142"/>
      <c r="CH123" s="142"/>
      <c r="CI123" s="142"/>
      <c r="CJ123" s="142"/>
      <c r="CK123" s="142"/>
      <c r="CL123" s="142"/>
      <c r="CM123" s="142"/>
      <c r="CN123" s="142"/>
      <c r="CO123" s="142"/>
      <c r="CP123" s="142"/>
      <c r="CQ123" s="142"/>
    </row>
    <row r="124">
      <c r="A124" s="142"/>
      <c r="B124" s="142"/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  <c r="AA124" s="142"/>
      <c r="AB124" s="142"/>
      <c r="AC124" s="142"/>
      <c r="AD124" s="142"/>
      <c r="AE124" s="142"/>
      <c r="AF124" s="142"/>
      <c r="AG124" s="142"/>
      <c r="AH124" s="142"/>
      <c r="AI124" s="142"/>
      <c r="AJ124" s="142"/>
      <c r="AK124" s="142"/>
      <c r="AL124" s="142"/>
      <c r="AM124" s="142"/>
      <c r="AN124" s="142"/>
      <c r="AO124" s="142"/>
      <c r="AP124" s="142"/>
      <c r="AQ124" s="142"/>
      <c r="AR124" s="142"/>
      <c r="AS124" s="142"/>
      <c r="AT124" s="142"/>
      <c r="AU124" s="142"/>
      <c r="AV124" s="142"/>
      <c r="AW124" s="142"/>
      <c r="AX124" s="142"/>
      <c r="AY124" s="142"/>
      <c r="AZ124" s="142"/>
      <c r="BA124" s="142"/>
      <c r="BB124" s="142"/>
      <c r="BC124" s="142"/>
      <c r="BD124" s="142"/>
      <c r="BE124" s="142"/>
      <c r="BF124" s="142"/>
      <c r="BG124" s="142"/>
      <c r="BH124" s="142"/>
      <c r="BI124" s="142"/>
      <c r="BJ124" s="142"/>
      <c r="BK124" s="142"/>
      <c r="BL124" s="142"/>
      <c r="BM124" s="142"/>
      <c r="BN124" s="142"/>
      <c r="BO124" s="142"/>
      <c r="BP124" s="142"/>
      <c r="BQ124" s="142"/>
      <c r="BR124" s="142"/>
      <c r="BS124" s="142"/>
      <c r="BT124" s="142"/>
      <c r="BU124" s="142"/>
      <c r="BV124" s="142"/>
      <c r="BW124" s="142"/>
      <c r="BX124" s="142"/>
      <c r="BY124" s="141"/>
      <c r="BZ124" s="141"/>
      <c r="CA124" s="141"/>
      <c r="CB124" s="141"/>
      <c r="CC124" s="141"/>
      <c r="CD124" s="141"/>
      <c r="CE124" s="142"/>
      <c r="CF124" s="142"/>
      <c r="CG124" s="142"/>
      <c r="CH124" s="142"/>
      <c r="CI124" s="142"/>
      <c r="CJ124" s="142"/>
      <c r="CK124" s="142"/>
      <c r="CL124" s="142"/>
      <c r="CM124" s="142"/>
      <c r="CN124" s="142"/>
      <c r="CO124" s="142"/>
      <c r="CP124" s="142"/>
      <c r="CQ124" s="142"/>
    </row>
    <row r="125">
      <c r="A125" s="142"/>
      <c r="B125" s="142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  <c r="AA125" s="142"/>
      <c r="AB125" s="142"/>
      <c r="AC125" s="142"/>
      <c r="AD125" s="142"/>
      <c r="AE125" s="142"/>
      <c r="AF125" s="142"/>
      <c r="AG125" s="142"/>
      <c r="AH125" s="142"/>
      <c r="AI125" s="142"/>
      <c r="AJ125" s="142"/>
      <c r="AK125" s="142"/>
      <c r="AL125" s="142"/>
      <c r="AM125" s="142"/>
      <c r="AN125" s="142"/>
      <c r="AO125" s="142"/>
      <c r="AP125" s="142"/>
      <c r="AQ125" s="142"/>
      <c r="AR125" s="142"/>
      <c r="AS125" s="142"/>
      <c r="AT125" s="142"/>
      <c r="AU125" s="142"/>
      <c r="AV125" s="142"/>
      <c r="AW125" s="142"/>
      <c r="AX125" s="142"/>
      <c r="AY125" s="142"/>
      <c r="AZ125" s="142"/>
      <c r="BA125" s="142"/>
      <c r="BB125" s="142"/>
      <c r="BC125" s="142"/>
      <c r="BD125" s="142"/>
      <c r="BE125" s="142"/>
      <c r="BF125" s="142"/>
      <c r="BG125" s="142"/>
      <c r="BH125" s="142"/>
      <c r="BI125" s="142"/>
      <c r="BJ125" s="142"/>
      <c r="BK125" s="142"/>
      <c r="BL125" s="142"/>
      <c r="BM125" s="142"/>
      <c r="BN125" s="142"/>
      <c r="BO125" s="142"/>
      <c r="BP125" s="142"/>
      <c r="BQ125" s="142"/>
      <c r="BR125" s="142"/>
      <c r="BS125" s="142"/>
      <c r="BT125" s="142"/>
      <c r="BU125" s="142"/>
      <c r="BV125" s="142"/>
      <c r="BW125" s="142"/>
      <c r="BX125" s="142"/>
      <c r="BY125" s="141"/>
      <c r="BZ125" s="141"/>
      <c r="CA125" s="141"/>
      <c r="CB125" s="141"/>
      <c r="CC125" s="141"/>
      <c r="CD125" s="141"/>
      <c r="CE125" s="142"/>
      <c r="CF125" s="142"/>
      <c r="CG125" s="142"/>
      <c r="CH125" s="142"/>
      <c r="CI125" s="142"/>
      <c r="CJ125" s="142"/>
      <c r="CK125" s="142"/>
      <c r="CL125" s="142"/>
      <c r="CM125" s="142"/>
      <c r="CN125" s="142"/>
      <c r="CO125" s="142"/>
      <c r="CP125" s="142"/>
      <c r="CQ125" s="142"/>
    </row>
    <row r="126">
      <c r="A126" s="142"/>
      <c r="B126" s="142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  <c r="AA126" s="142"/>
      <c r="AB126" s="142"/>
      <c r="AC126" s="142"/>
      <c r="AD126" s="142"/>
      <c r="AE126" s="142"/>
      <c r="AF126" s="142"/>
      <c r="AG126" s="142"/>
      <c r="AH126" s="142"/>
      <c r="AI126" s="142"/>
      <c r="AJ126" s="142"/>
      <c r="AK126" s="142"/>
      <c r="AL126" s="142"/>
      <c r="AM126" s="142"/>
      <c r="AN126" s="142"/>
      <c r="AO126" s="142"/>
      <c r="AP126" s="142"/>
      <c r="AQ126" s="142"/>
      <c r="AR126" s="142"/>
      <c r="AS126" s="142"/>
      <c r="AT126" s="142"/>
      <c r="AU126" s="142"/>
      <c r="AV126" s="142"/>
      <c r="AW126" s="142"/>
      <c r="AX126" s="142"/>
      <c r="AY126" s="142"/>
      <c r="AZ126" s="142"/>
      <c r="BA126" s="142"/>
      <c r="BB126" s="142"/>
      <c r="BC126" s="142"/>
      <c r="BD126" s="142"/>
      <c r="BE126" s="142"/>
      <c r="BF126" s="142"/>
      <c r="BG126" s="142"/>
      <c r="BH126" s="142"/>
      <c r="BI126" s="142"/>
      <c r="BJ126" s="142"/>
      <c r="BK126" s="142"/>
      <c r="BL126" s="142"/>
      <c r="BM126" s="142"/>
      <c r="BN126" s="142"/>
      <c r="BO126" s="142"/>
      <c r="BP126" s="142"/>
      <c r="BQ126" s="142"/>
      <c r="BR126" s="142"/>
      <c r="BS126" s="142"/>
      <c r="BT126" s="142"/>
      <c r="BU126" s="142"/>
      <c r="BV126" s="142"/>
      <c r="BW126" s="142"/>
      <c r="BX126" s="142"/>
      <c r="BY126" s="141"/>
      <c r="BZ126" s="141"/>
      <c r="CA126" s="141"/>
      <c r="CB126" s="141"/>
      <c r="CC126" s="141"/>
      <c r="CD126" s="141"/>
      <c r="CE126" s="142"/>
      <c r="CF126" s="142"/>
      <c r="CG126" s="142"/>
      <c r="CH126" s="142"/>
      <c r="CI126" s="142"/>
      <c r="CJ126" s="142"/>
      <c r="CK126" s="142"/>
      <c r="CL126" s="142"/>
      <c r="CM126" s="142"/>
      <c r="CN126" s="142"/>
      <c r="CO126" s="142"/>
      <c r="CP126" s="142"/>
      <c r="CQ126" s="142"/>
    </row>
    <row r="127">
      <c r="A127" s="142"/>
      <c r="B127" s="142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  <c r="AA127" s="142"/>
      <c r="AB127" s="142"/>
      <c r="AC127" s="142"/>
      <c r="AD127" s="142"/>
      <c r="AE127" s="142"/>
      <c r="AF127" s="142"/>
      <c r="AG127" s="142"/>
      <c r="AH127" s="142"/>
      <c r="AI127" s="142"/>
      <c r="AJ127" s="142"/>
      <c r="AK127" s="142"/>
      <c r="AL127" s="142"/>
      <c r="AM127" s="142"/>
      <c r="AN127" s="142"/>
      <c r="AO127" s="142"/>
      <c r="AP127" s="142"/>
      <c r="AQ127" s="142"/>
      <c r="AR127" s="142"/>
      <c r="AS127" s="142"/>
      <c r="AT127" s="142"/>
      <c r="AU127" s="142"/>
      <c r="AV127" s="142"/>
      <c r="AW127" s="142"/>
      <c r="AX127" s="142"/>
      <c r="AY127" s="142"/>
      <c r="AZ127" s="142"/>
      <c r="BA127" s="142"/>
      <c r="BB127" s="142"/>
      <c r="BC127" s="142"/>
      <c r="BD127" s="142"/>
      <c r="BE127" s="142"/>
      <c r="BF127" s="142"/>
      <c r="BG127" s="142"/>
      <c r="BH127" s="142"/>
      <c r="BI127" s="142"/>
      <c r="BJ127" s="142"/>
      <c r="BK127" s="142"/>
      <c r="BL127" s="142"/>
      <c r="BM127" s="142"/>
      <c r="BN127" s="142"/>
      <c r="BO127" s="142"/>
      <c r="BP127" s="142"/>
      <c r="BQ127" s="142"/>
      <c r="BR127" s="142"/>
      <c r="BS127" s="142"/>
      <c r="BT127" s="142"/>
      <c r="BU127" s="142"/>
      <c r="BV127" s="142"/>
      <c r="BW127" s="142"/>
      <c r="BX127" s="142"/>
      <c r="BY127" s="141"/>
      <c r="BZ127" s="141"/>
      <c r="CA127" s="141"/>
      <c r="CB127" s="141"/>
      <c r="CC127" s="141"/>
      <c r="CD127" s="141"/>
      <c r="CE127" s="142"/>
      <c r="CF127" s="142"/>
      <c r="CG127" s="142"/>
      <c r="CH127" s="142"/>
      <c r="CI127" s="142"/>
      <c r="CJ127" s="142"/>
      <c r="CK127" s="142"/>
      <c r="CL127" s="142"/>
      <c r="CM127" s="142"/>
      <c r="CN127" s="142"/>
      <c r="CO127" s="142"/>
      <c r="CP127" s="142"/>
      <c r="CQ127" s="142"/>
    </row>
    <row r="128">
      <c r="A128" s="142"/>
      <c r="B128" s="142"/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  <c r="AA128" s="142"/>
      <c r="AB128" s="142"/>
      <c r="AC128" s="142"/>
      <c r="AD128" s="142"/>
      <c r="AE128" s="142"/>
      <c r="AF128" s="142"/>
      <c r="AG128" s="142"/>
      <c r="AH128" s="142"/>
      <c r="AI128" s="142"/>
      <c r="AJ128" s="142"/>
      <c r="AK128" s="142"/>
      <c r="AL128" s="142"/>
      <c r="AM128" s="142"/>
      <c r="AN128" s="142"/>
      <c r="AO128" s="142"/>
      <c r="AP128" s="142"/>
      <c r="AQ128" s="142"/>
      <c r="AR128" s="142"/>
      <c r="AS128" s="142"/>
      <c r="AT128" s="142"/>
      <c r="AU128" s="142"/>
      <c r="AV128" s="142"/>
      <c r="AW128" s="142"/>
      <c r="AX128" s="142"/>
      <c r="AY128" s="142"/>
      <c r="AZ128" s="142"/>
      <c r="BA128" s="142"/>
      <c r="BB128" s="142"/>
      <c r="BC128" s="142"/>
      <c r="BD128" s="142"/>
      <c r="BE128" s="142"/>
      <c r="BF128" s="142"/>
      <c r="BG128" s="142"/>
      <c r="BH128" s="142"/>
      <c r="BI128" s="142"/>
      <c r="BJ128" s="142"/>
      <c r="BK128" s="142"/>
      <c r="BL128" s="142"/>
      <c r="BM128" s="142"/>
      <c r="BN128" s="142"/>
      <c r="BO128" s="142"/>
      <c r="BP128" s="142"/>
      <c r="BQ128" s="142"/>
      <c r="BR128" s="142"/>
      <c r="BS128" s="142"/>
      <c r="BT128" s="142"/>
      <c r="BU128" s="142"/>
      <c r="BV128" s="142"/>
      <c r="BW128" s="142"/>
      <c r="BX128" s="142"/>
      <c r="BY128" s="141"/>
      <c r="BZ128" s="141"/>
      <c r="CA128" s="141"/>
      <c r="CB128" s="141"/>
      <c r="CC128" s="141"/>
      <c r="CD128" s="141"/>
      <c r="CE128" s="142"/>
      <c r="CF128" s="142"/>
      <c r="CG128" s="142"/>
      <c r="CH128" s="142"/>
      <c r="CI128" s="142"/>
      <c r="CJ128" s="142"/>
      <c r="CK128" s="142"/>
      <c r="CL128" s="142"/>
      <c r="CM128" s="142"/>
      <c r="CN128" s="142"/>
      <c r="CO128" s="142"/>
      <c r="CP128" s="142"/>
      <c r="CQ128" s="142"/>
    </row>
    <row r="129">
      <c r="A129" s="142"/>
      <c r="B129" s="142"/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  <c r="AA129" s="142"/>
      <c r="AB129" s="142"/>
      <c r="AC129" s="142"/>
      <c r="AD129" s="142"/>
      <c r="AE129" s="142"/>
      <c r="AF129" s="142"/>
      <c r="AG129" s="142"/>
      <c r="AH129" s="142"/>
      <c r="AI129" s="142"/>
      <c r="AJ129" s="142"/>
      <c r="AK129" s="142"/>
      <c r="AL129" s="142"/>
      <c r="AM129" s="142"/>
      <c r="AN129" s="142"/>
      <c r="AO129" s="142"/>
      <c r="AP129" s="142"/>
      <c r="AQ129" s="142"/>
      <c r="AR129" s="142"/>
      <c r="AS129" s="142"/>
      <c r="AT129" s="142"/>
      <c r="AU129" s="142"/>
      <c r="AV129" s="142"/>
      <c r="AW129" s="142"/>
      <c r="AX129" s="142"/>
      <c r="AY129" s="142"/>
      <c r="AZ129" s="142"/>
      <c r="BA129" s="142"/>
      <c r="BB129" s="142"/>
      <c r="BC129" s="142"/>
      <c r="BD129" s="142"/>
      <c r="BE129" s="142"/>
      <c r="BF129" s="142"/>
      <c r="BG129" s="142"/>
      <c r="BH129" s="142"/>
      <c r="BI129" s="142"/>
      <c r="BJ129" s="142"/>
      <c r="BK129" s="142"/>
      <c r="BL129" s="142"/>
      <c r="BM129" s="142"/>
      <c r="BN129" s="142"/>
      <c r="BO129" s="142"/>
      <c r="BP129" s="142"/>
      <c r="BQ129" s="142"/>
      <c r="BR129" s="142"/>
      <c r="BS129" s="142"/>
      <c r="BT129" s="142"/>
      <c r="BU129" s="142"/>
      <c r="BV129" s="142"/>
      <c r="BW129" s="142"/>
      <c r="BX129" s="142"/>
      <c r="BY129" s="141"/>
      <c r="BZ129" s="141"/>
      <c r="CA129" s="141"/>
      <c r="CB129" s="141"/>
      <c r="CC129" s="141"/>
      <c r="CD129" s="141"/>
      <c r="CE129" s="142"/>
      <c r="CF129" s="142"/>
      <c r="CG129" s="142"/>
      <c r="CH129" s="142"/>
      <c r="CI129" s="142"/>
      <c r="CJ129" s="142"/>
      <c r="CK129" s="142"/>
      <c r="CL129" s="142"/>
      <c r="CM129" s="142"/>
      <c r="CN129" s="142"/>
      <c r="CO129" s="142"/>
      <c r="CP129" s="142"/>
      <c r="CQ129" s="142"/>
    </row>
    <row r="130">
      <c r="A130" s="142"/>
      <c r="B130" s="142"/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  <c r="AA130" s="142"/>
      <c r="AB130" s="142"/>
      <c r="AC130" s="142"/>
      <c r="AD130" s="142"/>
      <c r="AE130" s="142"/>
      <c r="AF130" s="142"/>
      <c r="AG130" s="142"/>
      <c r="AH130" s="142"/>
      <c r="AI130" s="142"/>
      <c r="AJ130" s="142"/>
      <c r="AK130" s="142"/>
      <c r="AL130" s="142"/>
      <c r="AM130" s="142"/>
      <c r="AN130" s="142"/>
      <c r="AO130" s="142"/>
      <c r="AP130" s="142"/>
      <c r="AQ130" s="142"/>
      <c r="AR130" s="142"/>
      <c r="AS130" s="142"/>
      <c r="AT130" s="142"/>
      <c r="AU130" s="142"/>
      <c r="AV130" s="142"/>
      <c r="AW130" s="142"/>
      <c r="AX130" s="142"/>
      <c r="AY130" s="142"/>
      <c r="AZ130" s="142"/>
      <c r="BA130" s="142"/>
      <c r="BB130" s="142"/>
      <c r="BC130" s="142"/>
      <c r="BD130" s="142"/>
      <c r="BE130" s="142"/>
      <c r="BF130" s="142"/>
      <c r="BG130" s="142"/>
      <c r="BH130" s="142"/>
      <c r="BI130" s="142"/>
      <c r="BJ130" s="142"/>
      <c r="BK130" s="142"/>
      <c r="BL130" s="142"/>
      <c r="BM130" s="142"/>
      <c r="BN130" s="142"/>
      <c r="BO130" s="142"/>
      <c r="BP130" s="142"/>
      <c r="BQ130" s="142"/>
      <c r="BR130" s="142"/>
      <c r="BS130" s="142"/>
      <c r="BT130" s="142"/>
      <c r="BU130" s="142"/>
      <c r="BV130" s="142"/>
      <c r="BW130" s="142"/>
      <c r="BX130" s="142"/>
      <c r="BY130" s="141"/>
      <c r="BZ130" s="141"/>
      <c r="CA130" s="141"/>
      <c r="CB130" s="141"/>
      <c r="CC130" s="141"/>
      <c r="CD130" s="141"/>
      <c r="CE130" s="142"/>
      <c r="CF130" s="142"/>
      <c r="CG130" s="142"/>
      <c r="CH130" s="142"/>
      <c r="CI130" s="142"/>
      <c r="CJ130" s="142"/>
      <c r="CK130" s="142"/>
      <c r="CL130" s="142"/>
      <c r="CM130" s="142"/>
      <c r="CN130" s="142"/>
      <c r="CO130" s="142"/>
      <c r="CP130" s="142"/>
      <c r="CQ130" s="142"/>
    </row>
    <row r="131">
      <c r="A131" s="142"/>
      <c r="B131" s="142"/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2"/>
      <c r="AG131" s="142"/>
      <c r="AH131" s="142"/>
      <c r="AI131" s="142"/>
      <c r="AJ131" s="142"/>
      <c r="AK131" s="142"/>
      <c r="AL131" s="142"/>
      <c r="AM131" s="142"/>
      <c r="AN131" s="142"/>
      <c r="AO131" s="142"/>
      <c r="AP131" s="142"/>
      <c r="AQ131" s="142"/>
      <c r="AR131" s="142"/>
      <c r="AS131" s="142"/>
      <c r="AT131" s="142"/>
      <c r="AU131" s="142"/>
      <c r="AV131" s="142"/>
      <c r="AW131" s="142"/>
      <c r="AX131" s="142"/>
      <c r="AY131" s="142"/>
      <c r="AZ131" s="142"/>
      <c r="BA131" s="142"/>
      <c r="BB131" s="142"/>
      <c r="BC131" s="142"/>
      <c r="BD131" s="142"/>
      <c r="BE131" s="142"/>
      <c r="BF131" s="142"/>
      <c r="BG131" s="142"/>
      <c r="BH131" s="142"/>
      <c r="BI131" s="142"/>
      <c r="BJ131" s="142"/>
      <c r="BK131" s="142"/>
      <c r="BL131" s="142"/>
      <c r="BM131" s="142"/>
      <c r="BN131" s="142"/>
      <c r="BO131" s="142"/>
      <c r="BP131" s="142"/>
      <c r="BQ131" s="142"/>
      <c r="BR131" s="142"/>
      <c r="BS131" s="142"/>
      <c r="BT131" s="142"/>
      <c r="BU131" s="142"/>
      <c r="BV131" s="142"/>
      <c r="BW131" s="142"/>
      <c r="BX131" s="142"/>
      <c r="BY131" s="141"/>
      <c r="BZ131" s="141"/>
      <c r="CA131" s="141"/>
      <c r="CB131" s="141"/>
      <c r="CC131" s="141"/>
      <c r="CD131" s="141"/>
      <c r="CE131" s="142"/>
      <c r="CF131" s="142"/>
      <c r="CG131" s="142"/>
      <c r="CH131" s="142"/>
      <c r="CI131" s="142"/>
      <c r="CJ131" s="142"/>
      <c r="CK131" s="142"/>
      <c r="CL131" s="142"/>
      <c r="CM131" s="142"/>
      <c r="CN131" s="142"/>
      <c r="CO131" s="142"/>
      <c r="CP131" s="142"/>
      <c r="CQ131" s="142"/>
    </row>
    <row r="132">
      <c r="A132" s="142"/>
      <c r="B132" s="142"/>
      <c r="C132" s="142"/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  <c r="AA132" s="142"/>
      <c r="AB132" s="142"/>
      <c r="AC132" s="142"/>
      <c r="AD132" s="142"/>
      <c r="AE132" s="142"/>
      <c r="AF132" s="142"/>
      <c r="AG132" s="142"/>
      <c r="AH132" s="142"/>
      <c r="AI132" s="142"/>
      <c r="AJ132" s="142"/>
      <c r="AK132" s="142"/>
      <c r="AL132" s="142"/>
      <c r="AM132" s="142"/>
      <c r="AN132" s="142"/>
      <c r="AO132" s="142"/>
      <c r="AP132" s="142"/>
      <c r="AQ132" s="142"/>
      <c r="AR132" s="142"/>
      <c r="AS132" s="142"/>
      <c r="AT132" s="142"/>
      <c r="AU132" s="142"/>
      <c r="AV132" s="142"/>
      <c r="AW132" s="142"/>
      <c r="AX132" s="142"/>
      <c r="AY132" s="142"/>
      <c r="AZ132" s="142"/>
      <c r="BA132" s="142"/>
      <c r="BB132" s="142"/>
      <c r="BC132" s="142"/>
      <c r="BD132" s="142"/>
      <c r="BE132" s="142"/>
      <c r="BF132" s="142"/>
      <c r="BG132" s="142"/>
      <c r="BH132" s="142"/>
      <c r="BI132" s="142"/>
      <c r="BJ132" s="142"/>
      <c r="BK132" s="142"/>
      <c r="BL132" s="142"/>
      <c r="BM132" s="142"/>
      <c r="BN132" s="142"/>
      <c r="BO132" s="142"/>
      <c r="BP132" s="142"/>
      <c r="BQ132" s="142"/>
      <c r="BR132" s="142"/>
      <c r="BS132" s="142"/>
      <c r="BT132" s="142"/>
      <c r="BU132" s="142"/>
      <c r="BV132" s="142"/>
      <c r="BW132" s="142"/>
      <c r="BX132" s="142"/>
      <c r="BY132" s="141"/>
      <c r="BZ132" s="141"/>
      <c r="CA132" s="141"/>
      <c r="CB132" s="141"/>
      <c r="CC132" s="141"/>
      <c r="CD132" s="141"/>
      <c r="CE132" s="142"/>
      <c r="CF132" s="142"/>
      <c r="CG132" s="142"/>
      <c r="CH132" s="142"/>
      <c r="CI132" s="142"/>
      <c r="CJ132" s="142"/>
      <c r="CK132" s="142"/>
      <c r="CL132" s="142"/>
      <c r="CM132" s="142"/>
      <c r="CN132" s="142"/>
      <c r="CO132" s="142"/>
      <c r="CP132" s="142"/>
      <c r="CQ132" s="142"/>
    </row>
    <row r="133">
      <c r="A133" s="142"/>
      <c r="B133" s="142"/>
      <c r="C133" s="14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2"/>
      <c r="AH133" s="142"/>
      <c r="AI133" s="142"/>
      <c r="AJ133" s="142"/>
      <c r="AK133" s="142"/>
      <c r="AL133" s="142"/>
      <c r="AM133" s="142"/>
      <c r="AN133" s="142"/>
      <c r="AO133" s="142"/>
      <c r="AP133" s="142"/>
      <c r="AQ133" s="142"/>
      <c r="AR133" s="142"/>
      <c r="AS133" s="142"/>
      <c r="AT133" s="142"/>
      <c r="AU133" s="142"/>
      <c r="AV133" s="142"/>
      <c r="AW133" s="142"/>
      <c r="AX133" s="142"/>
      <c r="AY133" s="142"/>
      <c r="AZ133" s="142"/>
      <c r="BA133" s="142"/>
      <c r="BB133" s="142"/>
      <c r="BC133" s="142"/>
      <c r="BD133" s="142"/>
      <c r="BE133" s="142"/>
      <c r="BF133" s="142"/>
      <c r="BG133" s="142"/>
      <c r="BH133" s="142"/>
      <c r="BI133" s="142"/>
      <c r="BJ133" s="142"/>
      <c r="BK133" s="142"/>
      <c r="BL133" s="142"/>
      <c r="BM133" s="142"/>
      <c r="BN133" s="142"/>
      <c r="BO133" s="142"/>
      <c r="BP133" s="142"/>
      <c r="BQ133" s="142"/>
      <c r="BR133" s="142"/>
      <c r="BS133" s="142"/>
      <c r="BT133" s="142"/>
      <c r="BU133" s="142"/>
      <c r="BV133" s="142"/>
      <c r="BW133" s="142"/>
      <c r="BX133" s="142"/>
      <c r="BY133" s="141"/>
      <c r="BZ133" s="141"/>
      <c r="CA133" s="141"/>
      <c r="CB133" s="141"/>
      <c r="CC133" s="141"/>
      <c r="CD133" s="141"/>
      <c r="CE133" s="142"/>
      <c r="CF133" s="142"/>
      <c r="CG133" s="142"/>
      <c r="CH133" s="142"/>
      <c r="CI133" s="142"/>
      <c r="CJ133" s="142"/>
      <c r="CK133" s="142"/>
      <c r="CL133" s="142"/>
      <c r="CM133" s="142"/>
      <c r="CN133" s="142"/>
      <c r="CO133" s="142"/>
      <c r="CP133" s="142"/>
      <c r="CQ133" s="142"/>
    </row>
    <row r="134">
      <c r="A134" s="142"/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  <c r="AA134" s="142"/>
      <c r="AB134" s="142"/>
      <c r="AC134" s="142"/>
      <c r="AD134" s="142"/>
      <c r="AE134" s="142"/>
      <c r="AF134" s="142"/>
      <c r="AG134" s="142"/>
      <c r="AH134" s="142"/>
      <c r="AI134" s="142"/>
      <c r="AJ134" s="142"/>
      <c r="AK134" s="142"/>
      <c r="AL134" s="142"/>
      <c r="AM134" s="142"/>
      <c r="AN134" s="142"/>
      <c r="AO134" s="142"/>
      <c r="AP134" s="142"/>
      <c r="AQ134" s="142"/>
      <c r="AR134" s="142"/>
      <c r="AS134" s="142"/>
      <c r="AT134" s="142"/>
      <c r="AU134" s="142"/>
      <c r="AV134" s="142"/>
      <c r="AW134" s="142"/>
      <c r="AX134" s="142"/>
      <c r="AY134" s="142"/>
      <c r="AZ134" s="142"/>
      <c r="BA134" s="142"/>
      <c r="BB134" s="142"/>
      <c r="BC134" s="142"/>
      <c r="BD134" s="142"/>
      <c r="BE134" s="142"/>
      <c r="BF134" s="142"/>
      <c r="BG134" s="142"/>
      <c r="BH134" s="142"/>
      <c r="BI134" s="142"/>
      <c r="BJ134" s="142"/>
      <c r="BK134" s="142"/>
      <c r="BL134" s="142"/>
      <c r="BM134" s="142"/>
      <c r="BN134" s="142"/>
      <c r="BO134" s="142"/>
      <c r="BP134" s="142"/>
      <c r="BQ134" s="142"/>
      <c r="BR134" s="142"/>
      <c r="BS134" s="142"/>
      <c r="BT134" s="142"/>
      <c r="BU134" s="142"/>
      <c r="BV134" s="142"/>
      <c r="BW134" s="142"/>
      <c r="BX134" s="142"/>
      <c r="BY134" s="141"/>
      <c r="BZ134" s="141"/>
      <c r="CA134" s="141"/>
      <c r="CB134" s="141"/>
      <c r="CC134" s="141"/>
      <c r="CD134" s="141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</row>
    <row r="135">
      <c r="A135" s="142"/>
      <c r="B135" s="142"/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  <c r="AA135" s="142"/>
      <c r="AB135" s="142"/>
      <c r="AC135" s="142"/>
      <c r="AD135" s="142"/>
      <c r="AE135" s="142"/>
      <c r="AF135" s="142"/>
      <c r="AG135" s="142"/>
      <c r="AH135" s="142"/>
      <c r="AI135" s="142"/>
      <c r="AJ135" s="142"/>
      <c r="AK135" s="142"/>
      <c r="AL135" s="142"/>
      <c r="AM135" s="142"/>
      <c r="AN135" s="142"/>
      <c r="AO135" s="142"/>
      <c r="AP135" s="142"/>
      <c r="AQ135" s="142"/>
      <c r="AR135" s="142"/>
      <c r="AS135" s="142"/>
      <c r="AT135" s="142"/>
      <c r="AU135" s="142"/>
      <c r="AV135" s="142"/>
      <c r="AW135" s="142"/>
      <c r="AX135" s="142"/>
      <c r="AY135" s="142"/>
      <c r="AZ135" s="142"/>
      <c r="BA135" s="142"/>
      <c r="BB135" s="142"/>
      <c r="BC135" s="142"/>
      <c r="BD135" s="142"/>
      <c r="BE135" s="142"/>
      <c r="BF135" s="142"/>
      <c r="BG135" s="142"/>
      <c r="BH135" s="142"/>
      <c r="BI135" s="142"/>
      <c r="BJ135" s="142"/>
      <c r="BK135" s="142"/>
      <c r="BL135" s="142"/>
      <c r="BM135" s="142"/>
      <c r="BN135" s="142"/>
      <c r="BO135" s="142"/>
      <c r="BP135" s="142"/>
      <c r="BQ135" s="142"/>
      <c r="BR135" s="142"/>
      <c r="BS135" s="142"/>
      <c r="BT135" s="142"/>
      <c r="BU135" s="142"/>
      <c r="BV135" s="142"/>
      <c r="BW135" s="142"/>
      <c r="BX135" s="142"/>
      <c r="BY135" s="141"/>
      <c r="BZ135" s="141"/>
      <c r="CA135" s="141"/>
      <c r="CB135" s="141"/>
      <c r="CC135" s="141"/>
      <c r="CD135" s="141"/>
      <c r="CE135" s="142"/>
      <c r="CF135" s="142"/>
      <c r="CG135" s="142"/>
      <c r="CH135" s="142"/>
      <c r="CI135" s="142"/>
      <c r="CJ135" s="142"/>
      <c r="CK135" s="142"/>
      <c r="CL135" s="142"/>
      <c r="CM135" s="142"/>
      <c r="CN135" s="142"/>
      <c r="CO135" s="142"/>
      <c r="CP135" s="142"/>
      <c r="CQ135" s="142"/>
    </row>
    <row r="136">
      <c r="A136" s="142"/>
      <c r="B136" s="142"/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  <c r="AA136" s="142"/>
      <c r="AB136" s="142"/>
      <c r="AC136" s="142"/>
      <c r="AD136" s="142"/>
      <c r="AE136" s="142"/>
      <c r="AF136" s="142"/>
      <c r="AG136" s="142"/>
      <c r="AH136" s="142"/>
      <c r="AI136" s="142"/>
      <c r="AJ136" s="142"/>
      <c r="AK136" s="142"/>
      <c r="AL136" s="142"/>
      <c r="AM136" s="142"/>
      <c r="AN136" s="142"/>
      <c r="AO136" s="142"/>
      <c r="AP136" s="142"/>
      <c r="AQ136" s="142"/>
      <c r="AR136" s="142"/>
      <c r="AS136" s="142"/>
      <c r="AT136" s="142"/>
      <c r="AU136" s="142"/>
      <c r="AV136" s="142"/>
      <c r="AW136" s="142"/>
      <c r="AX136" s="142"/>
      <c r="AY136" s="142"/>
      <c r="AZ136" s="142"/>
      <c r="BA136" s="142"/>
      <c r="BB136" s="142"/>
      <c r="BC136" s="142"/>
      <c r="BD136" s="142"/>
      <c r="BE136" s="142"/>
      <c r="BF136" s="142"/>
      <c r="BG136" s="142"/>
      <c r="BH136" s="142"/>
      <c r="BI136" s="142"/>
      <c r="BJ136" s="142"/>
      <c r="BK136" s="142"/>
      <c r="BL136" s="142"/>
      <c r="BM136" s="142"/>
      <c r="BN136" s="142"/>
      <c r="BO136" s="142"/>
      <c r="BP136" s="142"/>
      <c r="BQ136" s="142"/>
      <c r="BR136" s="142"/>
      <c r="BS136" s="142"/>
      <c r="BT136" s="142"/>
      <c r="BU136" s="142"/>
      <c r="BV136" s="142"/>
      <c r="BW136" s="142"/>
      <c r="BX136" s="142"/>
      <c r="BY136" s="141"/>
      <c r="BZ136" s="141"/>
      <c r="CA136" s="141"/>
      <c r="CB136" s="141"/>
      <c r="CC136" s="141"/>
      <c r="CD136" s="141"/>
      <c r="CE136" s="142"/>
      <c r="CF136" s="142"/>
      <c r="CG136" s="142"/>
      <c r="CH136" s="142"/>
      <c r="CI136" s="142"/>
      <c r="CJ136" s="142"/>
      <c r="CK136" s="142"/>
      <c r="CL136" s="142"/>
      <c r="CM136" s="142"/>
      <c r="CN136" s="142"/>
      <c r="CO136" s="142"/>
      <c r="CP136" s="142"/>
      <c r="CQ136" s="142"/>
    </row>
    <row r="137">
      <c r="A137" s="142"/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2"/>
      <c r="AG137" s="142"/>
      <c r="AH137" s="142"/>
      <c r="AI137" s="142"/>
      <c r="AJ137" s="142"/>
      <c r="AK137" s="142"/>
      <c r="AL137" s="142"/>
      <c r="AM137" s="142"/>
      <c r="AN137" s="142"/>
      <c r="AO137" s="142"/>
      <c r="AP137" s="142"/>
      <c r="AQ137" s="142"/>
      <c r="AR137" s="142"/>
      <c r="AS137" s="142"/>
      <c r="AT137" s="142"/>
      <c r="AU137" s="142"/>
      <c r="AV137" s="142"/>
      <c r="AW137" s="142"/>
      <c r="AX137" s="142"/>
      <c r="AY137" s="142"/>
      <c r="AZ137" s="142"/>
      <c r="BA137" s="142"/>
      <c r="BB137" s="142"/>
      <c r="BC137" s="142"/>
      <c r="BD137" s="142"/>
      <c r="BE137" s="142"/>
      <c r="BF137" s="142"/>
      <c r="BG137" s="142"/>
      <c r="BH137" s="142"/>
      <c r="BI137" s="142"/>
      <c r="BJ137" s="142"/>
      <c r="BK137" s="142"/>
      <c r="BL137" s="142"/>
      <c r="BM137" s="142"/>
      <c r="BN137" s="142"/>
      <c r="BO137" s="142"/>
      <c r="BP137" s="142"/>
      <c r="BQ137" s="142"/>
      <c r="BR137" s="142"/>
      <c r="BS137" s="142"/>
      <c r="BT137" s="142"/>
      <c r="BU137" s="142"/>
      <c r="BV137" s="142"/>
      <c r="BW137" s="142"/>
      <c r="BX137" s="142"/>
      <c r="BY137" s="141"/>
      <c r="BZ137" s="141"/>
      <c r="CA137" s="141"/>
      <c r="CB137" s="141"/>
      <c r="CC137" s="141"/>
      <c r="CD137" s="141"/>
      <c r="CE137" s="142"/>
      <c r="CF137" s="142"/>
      <c r="CG137" s="142"/>
      <c r="CH137" s="142"/>
      <c r="CI137" s="142"/>
      <c r="CJ137" s="142"/>
      <c r="CK137" s="142"/>
      <c r="CL137" s="142"/>
      <c r="CM137" s="142"/>
      <c r="CN137" s="142"/>
      <c r="CO137" s="142"/>
      <c r="CP137" s="142"/>
      <c r="CQ137" s="142"/>
    </row>
    <row r="138">
      <c r="A138" s="142"/>
      <c r="B138" s="142"/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  <c r="AA138" s="142"/>
      <c r="AB138" s="142"/>
      <c r="AC138" s="142"/>
      <c r="AD138" s="142"/>
      <c r="AE138" s="142"/>
      <c r="AF138" s="142"/>
      <c r="AG138" s="142"/>
      <c r="AH138" s="142"/>
      <c r="AI138" s="142"/>
      <c r="AJ138" s="142"/>
      <c r="AK138" s="142"/>
      <c r="AL138" s="142"/>
      <c r="AM138" s="142"/>
      <c r="AN138" s="142"/>
      <c r="AO138" s="142"/>
      <c r="AP138" s="142"/>
      <c r="AQ138" s="142"/>
      <c r="AR138" s="142"/>
      <c r="AS138" s="142"/>
      <c r="AT138" s="142"/>
      <c r="AU138" s="142"/>
      <c r="AV138" s="142"/>
      <c r="AW138" s="142"/>
      <c r="AX138" s="142"/>
      <c r="AY138" s="142"/>
      <c r="AZ138" s="142"/>
      <c r="BA138" s="142"/>
      <c r="BB138" s="142"/>
      <c r="BC138" s="142"/>
      <c r="BD138" s="142"/>
      <c r="BE138" s="142"/>
      <c r="BF138" s="142"/>
      <c r="BG138" s="142"/>
      <c r="BH138" s="142"/>
      <c r="BI138" s="142"/>
      <c r="BJ138" s="142"/>
      <c r="BK138" s="142"/>
      <c r="BL138" s="142"/>
      <c r="BM138" s="142"/>
      <c r="BN138" s="142"/>
      <c r="BO138" s="142"/>
      <c r="BP138" s="142"/>
      <c r="BQ138" s="142"/>
      <c r="BR138" s="142"/>
      <c r="BS138" s="142"/>
      <c r="BT138" s="142"/>
      <c r="BU138" s="142"/>
      <c r="BV138" s="142"/>
      <c r="BW138" s="142"/>
      <c r="BX138" s="142"/>
      <c r="BY138" s="141"/>
      <c r="BZ138" s="141"/>
      <c r="CA138" s="141"/>
      <c r="CB138" s="141"/>
      <c r="CC138" s="141"/>
      <c r="CD138" s="141"/>
      <c r="CE138" s="142"/>
      <c r="CF138" s="142"/>
      <c r="CG138" s="142"/>
      <c r="CH138" s="142"/>
      <c r="CI138" s="142"/>
      <c r="CJ138" s="142"/>
      <c r="CK138" s="142"/>
      <c r="CL138" s="142"/>
      <c r="CM138" s="142"/>
      <c r="CN138" s="142"/>
      <c r="CO138" s="142"/>
      <c r="CP138" s="142"/>
      <c r="CQ138" s="142"/>
    </row>
    <row r="139">
      <c r="A139" s="142"/>
      <c r="B139" s="142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  <c r="AA139" s="142"/>
      <c r="AB139" s="142"/>
      <c r="AC139" s="142"/>
      <c r="AD139" s="142"/>
      <c r="AE139" s="142"/>
      <c r="AF139" s="142"/>
      <c r="AG139" s="142"/>
      <c r="AH139" s="142"/>
      <c r="AI139" s="142"/>
      <c r="AJ139" s="142"/>
      <c r="AK139" s="142"/>
      <c r="AL139" s="142"/>
      <c r="AM139" s="142"/>
      <c r="AN139" s="142"/>
      <c r="AO139" s="142"/>
      <c r="AP139" s="142"/>
      <c r="AQ139" s="142"/>
      <c r="AR139" s="142"/>
      <c r="AS139" s="142"/>
      <c r="AT139" s="142"/>
      <c r="AU139" s="142"/>
      <c r="AV139" s="142"/>
      <c r="AW139" s="142"/>
      <c r="AX139" s="142"/>
      <c r="AY139" s="142"/>
      <c r="AZ139" s="142"/>
      <c r="BA139" s="142"/>
      <c r="BB139" s="142"/>
      <c r="BC139" s="142"/>
      <c r="BD139" s="142"/>
      <c r="BE139" s="142"/>
      <c r="BF139" s="142"/>
      <c r="BG139" s="142"/>
      <c r="BH139" s="142"/>
      <c r="BI139" s="142"/>
      <c r="BJ139" s="142"/>
      <c r="BK139" s="142"/>
      <c r="BL139" s="142"/>
      <c r="BM139" s="142"/>
      <c r="BN139" s="142"/>
      <c r="BO139" s="142"/>
      <c r="BP139" s="142"/>
      <c r="BQ139" s="142"/>
      <c r="BR139" s="142"/>
      <c r="BS139" s="142"/>
      <c r="BT139" s="142"/>
      <c r="BU139" s="142"/>
      <c r="BV139" s="142"/>
      <c r="BW139" s="142"/>
      <c r="BX139" s="142"/>
      <c r="BY139" s="141"/>
      <c r="BZ139" s="141"/>
      <c r="CA139" s="141"/>
      <c r="CB139" s="141"/>
      <c r="CC139" s="141"/>
      <c r="CD139" s="141"/>
      <c r="CE139" s="142"/>
      <c r="CF139" s="142"/>
      <c r="CG139" s="142"/>
      <c r="CH139" s="142"/>
      <c r="CI139" s="142"/>
      <c r="CJ139" s="142"/>
      <c r="CK139" s="142"/>
      <c r="CL139" s="142"/>
      <c r="CM139" s="142"/>
      <c r="CN139" s="142"/>
      <c r="CO139" s="142"/>
      <c r="CP139" s="142"/>
      <c r="CQ139" s="142"/>
    </row>
    <row r="140">
      <c r="A140" s="142"/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2"/>
      <c r="AG140" s="142"/>
      <c r="AH140" s="142"/>
      <c r="AI140" s="142"/>
      <c r="AJ140" s="142"/>
      <c r="AK140" s="142"/>
      <c r="AL140" s="142"/>
      <c r="AM140" s="142"/>
      <c r="AN140" s="142"/>
      <c r="AO140" s="142"/>
      <c r="AP140" s="142"/>
      <c r="AQ140" s="142"/>
      <c r="AR140" s="142"/>
      <c r="AS140" s="142"/>
      <c r="AT140" s="142"/>
      <c r="AU140" s="142"/>
      <c r="AV140" s="142"/>
      <c r="AW140" s="142"/>
      <c r="AX140" s="142"/>
      <c r="AY140" s="142"/>
      <c r="AZ140" s="142"/>
      <c r="BA140" s="142"/>
      <c r="BB140" s="142"/>
      <c r="BC140" s="142"/>
      <c r="BD140" s="142"/>
      <c r="BE140" s="142"/>
      <c r="BF140" s="142"/>
      <c r="BG140" s="142"/>
      <c r="BH140" s="142"/>
      <c r="BI140" s="142"/>
      <c r="BJ140" s="142"/>
      <c r="BK140" s="142"/>
      <c r="BL140" s="142"/>
      <c r="BM140" s="142"/>
      <c r="BN140" s="142"/>
      <c r="BO140" s="142"/>
      <c r="BP140" s="142"/>
      <c r="BQ140" s="142"/>
      <c r="BR140" s="142"/>
      <c r="BS140" s="142"/>
      <c r="BT140" s="142"/>
      <c r="BU140" s="142"/>
      <c r="BV140" s="142"/>
      <c r="BW140" s="142"/>
      <c r="BX140" s="142"/>
      <c r="BY140" s="141"/>
      <c r="BZ140" s="141"/>
      <c r="CA140" s="141"/>
      <c r="CB140" s="141"/>
      <c r="CC140" s="141"/>
      <c r="CD140" s="141"/>
      <c r="CE140" s="142"/>
      <c r="CF140" s="142"/>
      <c r="CG140" s="142"/>
      <c r="CH140" s="142"/>
      <c r="CI140" s="142"/>
      <c r="CJ140" s="142"/>
      <c r="CK140" s="142"/>
      <c r="CL140" s="142"/>
      <c r="CM140" s="142"/>
      <c r="CN140" s="142"/>
      <c r="CO140" s="142"/>
      <c r="CP140" s="142"/>
      <c r="CQ140" s="142"/>
    </row>
    <row r="141">
      <c r="A141" s="142"/>
      <c r="B141" s="142"/>
      <c r="C141" s="142"/>
      <c r="D141" s="14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  <c r="AA141" s="142"/>
      <c r="AB141" s="142"/>
      <c r="AC141" s="142"/>
      <c r="AD141" s="142"/>
      <c r="AE141" s="142"/>
      <c r="AF141" s="142"/>
      <c r="AG141" s="142"/>
      <c r="AH141" s="142"/>
      <c r="AI141" s="142"/>
      <c r="AJ141" s="142"/>
      <c r="AK141" s="142"/>
      <c r="AL141" s="142"/>
      <c r="AM141" s="142"/>
      <c r="AN141" s="142"/>
      <c r="AO141" s="142"/>
      <c r="AP141" s="142"/>
      <c r="AQ141" s="142"/>
      <c r="AR141" s="142"/>
      <c r="AS141" s="142"/>
      <c r="AT141" s="142"/>
      <c r="AU141" s="142"/>
      <c r="AV141" s="142"/>
      <c r="AW141" s="142"/>
      <c r="AX141" s="142"/>
      <c r="AY141" s="142"/>
      <c r="AZ141" s="142"/>
      <c r="BA141" s="142"/>
      <c r="BB141" s="142"/>
      <c r="BC141" s="142"/>
      <c r="BD141" s="142"/>
      <c r="BE141" s="142"/>
      <c r="BF141" s="142"/>
      <c r="BG141" s="142"/>
      <c r="BH141" s="142"/>
      <c r="BI141" s="142"/>
      <c r="BJ141" s="142"/>
      <c r="BK141" s="142"/>
      <c r="BL141" s="142"/>
      <c r="BM141" s="142"/>
      <c r="BN141" s="142"/>
      <c r="BO141" s="142"/>
      <c r="BP141" s="142"/>
      <c r="BQ141" s="142"/>
      <c r="BR141" s="142"/>
      <c r="BS141" s="142"/>
      <c r="BT141" s="142"/>
      <c r="BU141" s="142"/>
      <c r="BV141" s="142"/>
      <c r="BW141" s="142"/>
      <c r="BX141" s="142"/>
      <c r="BY141" s="141"/>
      <c r="BZ141" s="141"/>
      <c r="CA141" s="141"/>
      <c r="CB141" s="141"/>
      <c r="CC141" s="141"/>
      <c r="CD141" s="141"/>
      <c r="CE141" s="142"/>
      <c r="CF141" s="142"/>
      <c r="CG141" s="142"/>
      <c r="CH141" s="142"/>
      <c r="CI141" s="142"/>
      <c r="CJ141" s="142"/>
      <c r="CK141" s="142"/>
      <c r="CL141" s="142"/>
      <c r="CM141" s="142"/>
      <c r="CN141" s="142"/>
      <c r="CO141" s="142"/>
      <c r="CP141" s="142"/>
      <c r="CQ141" s="142"/>
    </row>
    <row r="142">
      <c r="A142" s="142"/>
      <c r="B142" s="142"/>
      <c r="C142" s="142"/>
      <c r="D142" s="142"/>
      <c r="E142" s="142"/>
      <c r="F142" s="142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  <c r="AA142" s="142"/>
      <c r="AB142" s="142"/>
      <c r="AC142" s="142"/>
      <c r="AD142" s="142"/>
      <c r="AE142" s="142"/>
      <c r="AF142" s="142"/>
      <c r="AG142" s="142"/>
      <c r="AH142" s="142"/>
      <c r="AI142" s="142"/>
      <c r="AJ142" s="142"/>
      <c r="AK142" s="142"/>
      <c r="AL142" s="142"/>
      <c r="AM142" s="142"/>
      <c r="AN142" s="142"/>
      <c r="AO142" s="142"/>
      <c r="AP142" s="142"/>
      <c r="AQ142" s="142"/>
      <c r="AR142" s="142"/>
      <c r="AS142" s="142"/>
      <c r="AT142" s="142"/>
      <c r="AU142" s="142"/>
      <c r="AV142" s="142"/>
      <c r="AW142" s="142"/>
      <c r="AX142" s="142"/>
      <c r="AY142" s="142"/>
      <c r="AZ142" s="142"/>
      <c r="BA142" s="142"/>
      <c r="BB142" s="142"/>
      <c r="BC142" s="142"/>
      <c r="BD142" s="142"/>
      <c r="BE142" s="142"/>
      <c r="BF142" s="142"/>
      <c r="BG142" s="142"/>
      <c r="BH142" s="142"/>
      <c r="BI142" s="142"/>
      <c r="BJ142" s="142"/>
      <c r="BK142" s="142"/>
      <c r="BL142" s="142"/>
      <c r="BM142" s="142"/>
      <c r="BN142" s="142"/>
      <c r="BO142" s="142"/>
      <c r="BP142" s="142"/>
      <c r="BQ142" s="142"/>
      <c r="BR142" s="142"/>
      <c r="BS142" s="142"/>
      <c r="BT142" s="142"/>
      <c r="BU142" s="142"/>
      <c r="BV142" s="142"/>
      <c r="BW142" s="142"/>
      <c r="BX142" s="142"/>
      <c r="BY142" s="141"/>
      <c r="BZ142" s="141"/>
      <c r="CA142" s="141"/>
      <c r="CB142" s="141"/>
      <c r="CC142" s="141"/>
      <c r="CD142" s="141"/>
      <c r="CE142" s="142"/>
      <c r="CF142" s="142"/>
      <c r="CG142" s="142"/>
      <c r="CH142" s="142"/>
      <c r="CI142" s="142"/>
      <c r="CJ142" s="142"/>
      <c r="CK142" s="142"/>
      <c r="CL142" s="142"/>
      <c r="CM142" s="142"/>
      <c r="CN142" s="142"/>
      <c r="CO142" s="142"/>
      <c r="CP142" s="142"/>
      <c r="CQ142" s="142"/>
    </row>
    <row r="143">
      <c r="A143" s="142"/>
      <c r="B143" s="142"/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  <c r="AA143" s="142"/>
      <c r="AB143" s="142"/>
      <c r="AC143" s="142"/>
      <c r="AD143" s="142"/>
      <c r="AE143" s="142"/>
      <c r="AF143" s="142"/>
      <c r="AG143" s="142"/>
      <c r="AH143" s="142"/>
      <c r="AI143" s="142"/>
      <c r="AJ143" s="142"/>
      <c r="AK143" s="142"/>
      <c r="AL143" s="142"/>
      <c r="AM143" s="142"/>
      <c r="AN143" s="142"/>
      <c r="AO143" s="142"/>
      <c r="AP143" s="142"/>
      <c r="AQ143" s="142"/>
      <c r="AR143" s="142"/>
      <c r="AS143" s="142"/>
      <c r="AT143" s="142"/>
      <c r="AU143" s="142"/>
      <c r="AV143" s="142"/>
      <c r="AW143" s="142"/>
      <c r="AX143" s="142"/>
      <c r="AY143" s="142"/>
      <c r="AZ143" s="142"/>
      <c r="BA143" s="142"/>
      <c r="BB143" s="142"/>
      <c r="BC143" s="142"/>
      <c r="BD143" s="142"/>
      <c r="BE143" s="142"/>
      <c r="BF143" s="142"/>
      <c r="BG143" s="142"/>
      <c r="BH143" s="142"/>
      <c r="BI143" s="142"/>
      <c r="BJ143" s="142"/>
      <c r="BK143" s="142"/>
      <c r="BL143" s="142"/>
      <c r="BM143" s="142"/>
      <c r="BN143" s="142"/>
      <c r="BO143" s="142"/>
      <c r="BP143" s="142"/>
      <c r="BQ143" s="142"/>
      <c r="BR143" s="142"/>
      <c r="BS143" s="142"/>
      <c r="BT143" s="142"/>
      <c r="BU143" s="142"/>
      <c r="BV143" s="142"/>
      <c r="BW143" s="142"/>
      <c r="BX143" s="142"/>
      <c r="BY143" s="141"/>
      <c r="BZ143" s="141"/>
      <c r="CA143" s="141"/>
      <c r="CB143" s="141"/>
      <c r="CC143" s="141"/>
      <c r="CD143" s="141"/>
      <c r="CE143" s="142"/>
      <c r="CF143" s="142"/>
      <c r="CG143" s="142"/>
      <c r="CH143" s="142"/>
      <c r="CI143" s="142"/>
      <c r="CJ143" s="142"/>
      <c r="CK143" s="142"/>
      <c r="CL143" s="142"/>
      <c r="CM143" s="142"/>
      <c r="CN143" s="142"/>
      <c r="CO143" s="142"/>
      <c r="CP143" s="142"/>
      <c r="CQ143" s="142"/>
    </row>
    <row r="144">
      <c r="A144" s="142"/>
      <c r="B144" s="142"/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  <c r="AA144" s="142"/>
      <c r="AB144" s="142"/>
      <c r="AC144" s="142"/>
      <c r="AD144" s="142"/>
      <c r="AE144" s="142"/>
      <c r="AF144" s="142"/>
      <c r="AG144" s="142"/>
      <c r="AH144" s="142"/>
      <c r="AI144" s="142"/>
      <c r="AJ144" s="142"/>
      <c r="AK144" s="142"/>
      <c r="AL144" s="142"/>
      <c r="AM144" s="142"/>
      <c r="AN144" s="142"/>
      <c r="AO144" s="142"/>
      <c r="AP144" s="142"/>
      <c r="AQ144" s="142"/>
      <c r="AR144" s="142"/>
      <c r="AS144" s="142"/>
      <c r="AT144" s="142"/>
      <c r="AU144" s="142"/>
      <c r="AV144" s="142"/>
      <c r="AW144" s="142"/>
      <c r="AX144" s="142"/>
      <c r="AY144" s="142"/>
      <c r="AZ144" s="142"/>
      <c r="BA144" s="142"/>
      <c r="BB144" s="142"/>
      <c r="BC144" s="142"/>
      <c r="BD144" s="142"/>
      <c r="BE144" s="142"/>
      <c r="BF144" s="142"/>
      <c r="BG144" s="142"/>
      <c r="BH144" s="142"/>
      <c r="BI144" s="142"/>
      <c r="BJ144" s="142"/>
      <c r="BK144" s="142"/>
      <c r="BL144" s="142"/>
      <c r="BM144" s="142"/>
      <c r="BN144" s="142"/>
      <c r="BO144" s="142"/>
      <c r="BP144" s="142"/>
      <c r="BQ144" s="142"/>
      <c r="BR144" s="142"/>
      <c r="BS144" s="142"/>
      <c r="BT144" s="142"/>
      <c r="BU144" s="142"/>
      <c r="BV144" s="142"/>
      <c r="BW144" s="142"/>
      <c r="BX144" s="142"/>
      <c r="BY144" s="141"/>
      <c r="BZ144" s="141"/>
      <c r="CA144" s="141"/>
      <c r="CB144" s="141"/>
      <c r="CC144" s="141"/>
      <c r="CD144" s="141"/>
      <c r="CE144" s="142"/>
      <c r="CF144" s="142"/>
      <c r="CG144" s="142"/>
      <c r="CH144" s="142"/>
      <c r="CI144" s="142"/>
      <c r="CJ144" s="142"/>
      <c r="CK144" s="142"/>
      <c r="CL144" s="142"/>
      <c r="CM144" s="142"/>
      <c r="CN144" s="142"/>
      <c r="CO144" s="142"/>
      <c r="CP144" s="142"/>
      <c r="CQ144" s="142"/>
    </row>
    <row r="145">
      <c r="A145" s="142"/>
      <c r="B145" s="142"/>
      <c r="C145" s="14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2"/>
      <c r="AF145" s="142"/>
      <c r="AG145" s="142"/>
      <c r="AH145" s="142"/>
      <c r="AI145" s="142"/>
      <c r="AJ145" s="142"/>
      <c r="AK145" s="142"/>
      <c r="AL145" s="142"/>
      <c r="AM145" s="142"/>
      <c r="AN145" s="142"/>
      <c r="AO145" s="142"/>
      <c r="AP145" s="142"/>
      <c r="AQ145" s="142"/>
      <c r="AR145" s="142"/>
      <c r="AS145" s="142"/>
      <c r="AT145" s="142"/>
      <c r="AU145" s="142"/>
      <c r="AV145" s="142"/>
      <c r="AW145" s="142"/>
      <c r="AX145" s="142"/>
      <c r="AY145" s="142"/>
      <c r="AZ145" s="142"/>
      <c r="BA145" s="142"/>
      <c r="BB145" s="142"/>
      <c r="BC145" s="142"/>
      <c r="BD145" s="142"/>
      <c r="BE145" s="142"/>
      <c r="BF145" s="142"/>
      <c r="BG145" s="142"/>
      <c r="BH145" s="142"/>
      <c r="BI145" s="142"/>
      <c r="BJ145" s="142"/>
      <c r="BK145" s="142"/>
      <c r="BL145" s="142"/>
      <c r="BM145" s="142"/>
      <c r="BN145" s="142"/>
      <c r="BO145" s="142"/>
      <c r="BP145" s="142"/>
      <c r="BQ145" s="142"/>
      <c r="BR145" s="142"/>
      <c r="BS145" s="142"/>
      <c r="BT145" s="142"/>
      <c r="BU145" s="142"/>
      <c r="BV145" s="142"/>
      <c r="BW145" s="142"/>
      <c r="BX145" s="142"/>
      <c r="BY145" s="141"/>
      <c r="BZ145" s="141"/>
      <c r="CA145" s="141"/>
      <c r="CB145" s="141"/>
      <c r="CC145" s="141"/>
      <c r="CD145" s="141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</row>
    <row r="146">
      <c r="A146" s="142"/>
      <c r="B146" s="142"/>
      <c r="C146" s="14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  <c r="AA146" s="142"/>
      <c r="AB146" s="142"/>
      <c r="AC146" s="142"/>
      <c r="AD146" s="142"/>
      <c r="AE146" s="142"/>
      <c r="AF146" s="142"/>
      <c r="AG146" s="142"/>
      <c r="AH146" s="142"/>
      <c r="AI146" s="142"/>
      <c r="AJ146" s="142"/>
      <c r="AK146" s="142"/>
      <c r="AL146" s="142"/>
      <c r="AM146" s="142"/>
      <c r="AN146" s="142"/>
      <c r="AO146" s="142"/>
      <c r="AP146" s="142"/>
      <c r="AQ146" s="142"/>
      <c r="AR146" s="142"/>
      <c r="AS146" s="142"/>
      <c r="AT146" s="142"/>
      <c r="AU146" s="142"/>
      <c r="AV146" s="142"/>
      <c r="AW146" s="142"/>
      <c r="AX146" s="142"/>
      <c r="AY146" s="142"/>
      <c r="AZ146" s="142"/>
      <c r="BA146" s="142"/>
      <c r="BB146" s="142"/>
      <c r="BC146" s="142"/>
      <c r="BD146" s="142"/>
      <c r="BE146" s="142"/>
      <c r="BF146" s="142"/>
      <c r="BG146" s="142"/>
      <c r="BH146" s="142"/>
      <c r="BI146" s="142"/>
      <c r="BJ146" s="142"/>
      <c r="BK146" s="142"/>
      <c r="BL146" s="142"/>
      <c r="BM146" s="142"/>
      <c r="BN146" s="142"/>
      <c r="BO146" s="142"/>
      <c r="BP146" s="142"/>
      <c r="BQ146" s="142"/>
      <c r="BR146" s="142"/>
      <c r="BS146" s="142"/>
      <c r="BT146" s="142"/>
      <c r="BU146" s="142"/>
      <c r="BV146" s="142"/>
      <c r="BW146" s="142"/>
      <c r="BX146" s="142"/>
      <c r="BY146" s="141"/>
      <c r="BZ146" s="141"/>
      <c r="CA146" s="141"/>
      <c r="CB146" s="141"/>
      <c r="CC146" s="141"/>
      <c r="CD146" s="141"/>
      <c r="CE146" s="142"/>
      <c r="CF146" s="142"/>
      <c r="CG146" s="142"/>
      <c r="CH146" s="142"/>
      <c r="CI146" s="142"/>
      <c r="CJ146" s="142"/>
      <c r="CK146" s="142"/>
      <c r="CL146" s="142"/>
      <c r="CM146" s="142"/>
      <c r="CN146" s="142"/>
      <c r="CO146" s="142"/>
      <c r="CP146" s="142"/>
      <c r="CQ146" s="142"/>
    </row>
    <row r="147">
      <c r="A147" s="142"/>
      <c r="B147" s="142"/>
      <c r="C147" s="142"/>
      <c r="D147" s="142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  <c r="AA147" s="142"/>
      <c r="AB147" s="142"/>
      <c r="AC147" s="142"/>
      <c r="AD147" s="142"/>
      <c r="AE147" s="142"/>
      <c r="AF147" s="142"/>
      <c r="AG147" s="142"/>
      <c r="AH147" s="142"/>
      <c r="AI147" s="142"/>
      <c r="AJ147" s="142"/>
      <c r="AK147" s="142"/>
      <c r="AL147" s="142"/>
      <c r="AM147" s="142"/>
      <c r="AN147" s="142"/>
      <c r="AO147" s="142"/>
      <c r="AP147" s="142"/>
      <c r="AQ147" s="142"/>
      <c r="AR147" s="142"/>
      <c r="AS147" s="142"/>
      <c r="AT147" s="142"/>
      <c r="AU147" s="142"/>
      <c r="AV147" s="142"/>
      <c r="AW147" s="142"/>
      <c r="AX147" s="142"/>
      <c r="AY147" s="142"/>
      <c r="AZ147" s="142"/>
      <c r="BA147" s="142"/>
      <c r="BB147" s="142"/>
      <c r="BC147" s="142"/>
      <c r="BD147" s="142"/>
      <c r="BE147" s="142"/>
      <c r="BF147" s="142"/>
      <c r="BG147" s="142"/>
      <c r="BH147" s="142"/>
      <c r="BI147" s="142"/>
      <c r="BJ147" s="142"/>
      <c r="BK147" s="142"/>
      <c r="BL147" s="142"/>
      <c r="BM147" s="142"/>
      <c r="BN147" s="142"/>
      <c r="BO147" s="142"/>
      <c r="BP147" s="142"/>
      <c r="BQ147" s="142"/>
      <c r="BR147" s="142"/>
      <c r="BS147" s="142"/>
      <c r="BT147" s="142"/>
      <c r="BU147" s="142"/>
      <c r="BV147" s="142"/>
      <c r="BW147" s="142"/>
      <c r="BX147" s="142"/>
      <c r="BY147" s="141"/>
      <c r="BZ147" s="141"/>
      <c r="CA147" s="141"/>
      <c r="CB147" s="141"/>
      <c r="CC147" s="141"/>
      <c r="CD147" s="141"/>
      <c r="CE147" s="142"/>
      <c r="CF147" s="142"/>
      <c r="CG147" s="142"/>
      <c r="CH147" s="142"/>
      <c r="CI147" s="142"/>
      <c r="CJ147" s="142"/>
      <c r="CK147" s="142"/>
      <c r="CL147" s="142"/>
      <c r="CM147" s="142"/>
      <c r="CN147" s="142"/>
      <c r="CO147" s="142"/>
      <c r="CP147" s="142"/>
      <c r="CQ147" s="142"/>
    </row>
    <row r="148">
      <c r="A148" s="142"/>
      <c r="B148" s="142"/>
      <c r="C148" s="14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  <c r="AA148" s="142"/>
      <c r="AB148" s="142"/>
      <c r="AC148" s="142"/>
      <c r="AD148" s="142"/>
      <c r="AE148" s="142"/>
      <c r="AF148" s="142"/>
      <c r="AG148" s="142"/>
      <c r="AH148" s="142"/>
      <c r="AI148" s="142"/>
      <c r="AJ148" s="142"/>
      <c r="AK148" s="142"/>
      <c r="AL148" s="142"/>
      <c r="AM148" s="142"/>
      <c r="AN148" s="142"/>
      <c r="AO148" s="142"/>
      <c r="AP148" s="142"/>
      <c r="AQ148" s="142"/>
      <c r="AR148" s="142"/>
      <c r="AS148" s="142"/>
      <c r="AT148" s="142"/>
      <c r="AU148" s="142"/>
      <c r="AV148" s="142"/>
      <c r="AW148" s="142"/>
      <c r="AX148" s="142"/>
      <c r="AY148" s="142"/>
      <c r="AZ148" s="142"/>
      <c r="BA148" s="142"/>
      <c r="BB148" s="142"/>
      <c r="BC148" s="142"/>
      <c r="BD148" s="142"/>
      <c r="BE148" s="142"/>
      <c r="BF148" s="142"/>
      <c r="BG148" s="142"/>
      <c r="BH148" s="142"/>
      <c r="BI148" s="142"/>
      <c r="BJ148" s="142"/>
      <c r="BK148" s="142"/>
      <c r="BL148" s="142"/>
      <c r="BM148" s="142"/>
      <c r="BN148" s="142"/>
      <c r="BO148" s="142"/>
      <c r="BP148" s="142"/>
      <c r="BQ148" s="142"/>
      <c r="BR148" s="142"/>
      <c r="BS148" s="142"/>
      <c r="BT148" s="142"/>
      <c r="BU148" s="142"/>
      <c r="BV148" s="142"/>
      <c r="BW148" s="142"/>
      <c r="BX148" s="142"/>
      <c r="BY148" s="141"/>
      <c r="BZ148" s="141"/>
      <c r="CA148" s="141"/>
      <c r="CB148" s="141"/>
      <c r="CC148" s="141"/>
      <c r="CD148" s="141"/>
      <c r="CE148" s="142"/>
      <c r="CF148" s="142"/>
      <c r="CG148" s="142"/>
      <c r="CH148" s="142"/>
      <c r="CI148" s="142"/>
      <c r="CJ148" s="142"/>
      <c r="CK148" s="142"/>
      <c r="CL148" s="142"/>
      <c r="CM148" s="142"/>
      <c r="CN148" s="142"/>
      <c r="CO148" s="142"/>
      <c r="CP148" s="142"/>
      <c r="CQ148" s="142"/>
    </row>
    <row r="149">
      <c r="A149" s="142"/>
      <c r="B149" s="142"/>
      <c r="C149" s="142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  <c r="AA149" s="142"/>
      <c r="AB149" s="142"/>
      <c r="AC149" s="142"/>
      <c r="AD149" s="142"/>
      <c r="AE149" s="142"/>
      <c r="AF149" s="142"/>
      <c r="AG149" s="142"/>
      <c r="AH149" s="142"/>
      <c r="AI149" s="142"/>
      <c r="AJ149" s="142"/>
      <c r="AK149" s="142"/>
      <c r="AL149" s="142"/>
      <c r="AM149" s="142"/>
      <c r="AN149" s="142"/>
      <c r="AO149" s="142"/>
      <c r="AP149" s="142"/>
      <c r="AQ149" s="142"/>
      <c r="AR149" s="142"/>
      <c r="AS149" s="142"/>
      <c r="AT149" s="142"/>
      <c r="AU149" s="142"/>
      <c r="AV149" s="142"/>
      <c r="AW149" s="142"/>
      <c r="AX149" s="142"/>
      <c r="AY149" s="142"/>
      <c r="AZ149" s="142"/>
      <c r="BA149" s="142"/>
      <c r="BB149" s="142"/>
      <c r="BC149" s="142"/>
      <c r="BD149" s="142"/>
      <c r="BE149" s="142"/>
      <c r="BF149" s="142"/>
      <c r="BG149" s="142"/>
      <c r="BH149" s="142"/>
      <c r="BI149" s="142"/>
      <c r="BJ149" s="142"/>
      <c r="BK149" s="142"/>
      <c r="BL149" s="142"/>
      <c r="BM149" s="142"/>
      <c r="BN149" s="142"/>
      <c r="BO149" s="142"/>
      <c r="BP149" s="142"/>
      <c r="BQ149" s="142"/>
      <c r="BR149" s="142"/>
      <c r="BS149" s="142"/>
      <c r="BT149" s="142"/>
      <c r="BU149" s="142"/>
      <c r="BV149" s="142"/>
      <c r="BW149" s="142"/>
      <c r="BX149" s="142"/>
      <c r="BY149" s="141"/>
      <c r="BZ149" s="141"/>
      <c r="CA149" s="141"/>
      <c r="CB149" s="141"/>
      <c r="CC149" s="141"/>
      <c r="CD149" s="141"/>
      <c r="CE149" s="142"/>
      <c r="CF149" s="142"/>
      <c r="CG149" s="142"/>
      <c r="CH149" s="142"/>
      <c r="CI149" s="142"/>
      <c r="CJ149" s="142"/>
      <c r="CK149" s="142"/>
      <c r="CL149" s="142"/>
      <c r="CM149" s="142"/>
      <c r="CN149" s="142"/>
      <c r="CO149" s="142"/>
      <c r="CP149" s="142"/>
      <c r="CQ149" s="142"/>
    </row>
    <row r="150">
      <c r="A150" s="142"/>
      <c r="B150" s="142"/>
      <c r="C150" s="142"/>
      <c r="D150" s="14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  <c r="AA150" s="142"/>
      <c r="AB150" s="142"/>
      <c r="AC150" s="142"/>
      <c r="AD150" s="142"/>
      <c r="AE150" s="142"/>
      <c r="AF150" s="142"/>
      <c r="AG150" s="142"/>
      <c r="AH150" s="142"/>
      <c r="AI150" s="142"/>
      <c r="AJ150" s="142"/>
      <c r="AK150" s="142"/>
      <c r="AL150" s="142"/>
      <c r="AM150" s="142"/>
      <c r="AN150" s="142"/>
      <c r="AO150" s="142"/>
      <c r="AP150" s="142"/>
      <c r="AQ150" s="142"/>
      <c r="AR150" s="142"/>
      <c r="AS150" s="142"/>
      <c r="AT150" s="142"/>
      <c r="AU150" s="142"/>
      <c r="AV150" s="142"/>
      <c r="AW150" s="142"/>
      <c r="AX150" s="142"/>
      <c r="AY150" s="142"/>
      <c r="AZ150" s="142"/>
      <c r="BA150" s="142"/>
      <c r="BB150" s="142"/>
      <c r="BC150" s="142"/>
      <c r="BD150" s="142"/>
      <c r="BE150" s="142"/>
      <c r="BF150" s="142"/>
      <c r="BG150" s="142"/>
      <c r="BH150" s="142"/>
      <c r="BI150" s="142"/>
      <c r="BJ150" s="142"/>
      <c r="BK150" s="142"/>
      <c r="BL150" s="142"/>
      <c r="BM150" s="142"/>
      <c r="BN150" s="142"/>
      <c r="BO150" s="142"/>
      <c r="BP150" s="142"/>
      <c r="BQ150" s="142"/>
      <c r="BR150" s="142"/>
      <c r="BS150" s="142"/>
      <c r="BT150" s="142"/>
      <c r="BU150" s="142"/>
      <c r="BV150" s="142"/>
      <c r="BW150" s="142"/>
      <c r="BX150" s="142"/>
      <c r="BY150" s="141"/>
      <c r="BZ150" s="141"/>
      <c r="CA150" s="141"/>
      <c r="CB150" s="141"/>
      <c r="CC150" s="141"/>
      <c r="CD150" s="141"/>
      <c r="CE150" s="142"/>
      <c r="CF150" s="142"/>
      <c r="CG150" s="142"/>
      <c r="CH150" s="142"/>
      <c r="CI150" s="142"/>
      <c r="CJ150" s="142"/>
      <c r="CK150" s="142"/>
      <c r="CL150" s="142"/>
      <c r="CM150" s="142"/>
      <c r="CN150" s="142"/>
      <c r="CO150" s="142"/>
      <c r="CP150" s="142"/>
      <c r="CQ150" s="142"/>
    </row>
    <row r="151">
      <c r="A151" s="142"/>
      <c r="B151" s="142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  <c r="AA151" s="142"/>
      <c r="AB151" s="142"/>
      <c r="AC151" s="142"/>
      <c r="AD151" s="142"/>
      <c r="AE151" s="142"/>
      <c r="AF151" s="142"/>
      <c r="AG151" s="142"/>
      <c r="AH151" s="142"/>
      <c r="AI151" s="142"/>
      <c r="AJ151" s="142"/>
      <c r="AK151" s="142"/>
      <c r="AL151" s="142"/>
      <c r="AM151" s="142"/>
      <c r="AN151" s="142"/>
      <c r="AO151" s="142"/>
      <c r="AP151" s="142"/>
      <c r="AQ151" s="142"/>
      <c r="AR151" s="142"/>
      <c r="AS151" s="142"/>
      <c r="AT151" s="142"/>
      <c r="AU151" s="142"/>
      <c r="AV151" s="142"/>
      <c r="AW151" s="142"/>
      <c r="AX151" s="142"/>
      <c r="AY151" s="142"/>
      <c r="AZ151" s="142"/>
      <c r="BA151" s="142"/>
      <c r="BB151" s="142"/>
      <c r="BC151" s="142"/>
      <c r="BD151" s="142"/>
      <c r="BE151" s="142"/>
      <c r="BF151" s="142"/>
      <c r="BG151" s="142"/>
      <c r="BH151" s="142"/>
      <c r="BI151" s="142"/>
      <c r="BJ151" s="142"/>
      <c r="BK151" s="142"/>
      <c r="BL151" s="142"/>
      <c r="BM151" s="142"/>
      <c r="BN151" s="142"/>
      <c r="BO151" s="142"/>
      <c r="BP151" s="142"/>
      <c r="BQ151" s="142"/>
      <c r="BR151" s="142"/>
      <c r="BS151" s="142"/>
      <c r="BT151" s="142"/>
      <c r="BU151" s="142"/>
      <c r="BV151" s="142"/>
      <c r="BW151" s="142"/>
      <c r="BX151" s="142"/>
      <c r="BY151" s="141"/>
      <c r="BZ151" s="141"/>
      <c r="CA151" s="141"/>
      <c r="CB151" s="141"/>
      <c r="CC151" s="141"/>
      <c r="CD151" s="141"/>
      <c r="CE151" s="142"/>
      <c r="CF151" s="142"/>
      <c r="CG151" s="142"/>
      <c r="CH151" s="142"/>
      <c r="CI151" s="142"/>
      <c r="CJ151" s="142"/>
      <c r="CK151" s="142"/>
      <c r="CL151" s="142"/>
      <c r="CM151" s="142"/>
      <c r="CN151" s="142"/>
      <c r="CO151" s="142"/>
      <c r="CP151" s="142"/>
      <c r="CQ151" s="142"/>
    </row>
    <row r="152">
      <c r="A152" s="142"/>
      <c r="B152" s="142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2"/>
      <c r="AG152" s="142"/>
      <c r="AH152" s="142"/>
      <c r="AI152" s="142"/>
      <c r="AJ152" s="142"/>
      <c r="AK152" s="142"/>
      <c r="AL152" s="142"/>
      <c r="AM152" s="142"/>
      <c r="AN152" s="142"/>
      <c r="AO152" s="142"/>
      <c r="AP152" s="142"/>
      <c r="AQ152" s="142"/>
      <c r="AR152" s="142"/>
      <c r="AS152" s="142"/>
      <c r="AT152" s="142"/>
      <c r="AU152" s="142"/>
      <c r="AV152" s="142"/>
      <c r="AW152" s="142"/>
      <c r="AX152" s="142"/>
      <c r="AY152" s="142"/>
      <c r="AZ152" s="142"/>
      <c r="BA152" s="142"/>
      <c r="BB152" s="142"/>
      <c r="BC152" s="142"/>
      <c r="BD152" s="142"/>
      <c r="BE152" s="142"/>
      <c r="BF152" s="142"/>
      <c r="BG152" s="142"/>
      <c r="BH152" s="142"/>
      <c r="BI152" s="142"/>
      <c r="BJ152" s="142"/>
      <c r="BK152" s="142"/>
      <c r="BL152" s="142"/>
      <c r="BM152" s="142"/>
      <c r="BN152" s="142"/>
      <c r="BO152" s="142"/>
      <c r="BP152" s="142"/>
      <c r="BQ152" s="142"/>
      <c r="BR152" s="142"/>
      <c r="BS152" s="142"/>
      <c r="BT152" s="142"/>
      <c r="BU152" s="142"/>
      <c r="BV152" s="142"/>
      <c r="BW152" s="142"/>
      <c r="BX152" s="142"/>
      <c r="BY152" s="141"/>
      <c r="BZ152" s="141"/>
      <c r="CA152" s="141"/>
      <c r="CB152" s="141"/>
      <c r="CC152" s="141"/>
      <c r="CD152" s="141"/>
      <c r="CE152" s="142"/>
      <c r="CF152" s="142"/>
      <c r="CG152" s="142"/>
      <c r="CH152" s="142"/>
      <c r="CI152" s="142"/>
      <c r="CJ152" s="142"/>
      <c r="CK152" s="142"/>
      <c r="CL152" s="142"/>
      <c r="CM152" s="142"/>
      <c r="CN152" s="142"/>
      <c r="CO152" s="142"/>
      <c r="CP152" s="142"/>
      <c r="CQ152" s="142"/>
    </row>
    <row r="153">
      <c r="A153" s="142"/>
      <c r="B153" s="142"/>
      <c r="C153" s="14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  <c r="AA153" s="142"/>
      <c r="AB153" s="142"/>
      <c r="AC153" s="142"/>
      <c r="AD153" s="142"/>
      <c r="AE153" s="142"/>
      <c r="AF153" s="142"/>
      <c r="AG153" s="142"/>
      <c r="AH153" s="142"/>
      <c r="AI153" s="142"/>
      <c r="AJ153" s="142"/>
      <c r="AK153" s="142"/>
      <c r="AL153" s="142"/>
      <c r="AM153" s="142"/>
      <c r="AN153" s="142"/>
      <c r="AO153" s="142"/>
      <c r="AP153" s="142"/>
      <c r="AQ153" s="142"/>
      <c r="AR153" s="142"/>
      <c r="AS153" s="142"/>
      <c r="AT153" s="142"/>
      <c r="AU153" s="142"/>
      <c r="AV153" s="142"/>
      <c r="AW153" s="142"/>
      <c r="AX153" s="142"/>
      <c r="AY153" s="142"/>
      <c r="AZ153" s="142"/>
      <c r="BA153" s="142"/>
      <c r="BB153" s="142"/>
      <c r="BC153" s="142"/>
      <c r="BD153" s="142"/>
      <c r="BE153" s="142"/>
      <c r="BF153" s="142"/>
      <c r="BG153" s="142"/>
      <c r="BH153" s="142"/>
      <c r="BI153" s="142"/>
      <c r="BJ153" s="142"/>
      <c r="BK153" s="142"/>
      <c r="BL153" s="142"/>
      <c r="BM153" s="142"/>
      <c r="BN153" s="142"/>
      <c r="BO153" s="142"/>
      <c r="BP153" s="142"/>
      <c r="BQ153" s="142"/>
      <c r="BR153" s="142"/>
      <c r="BS153" s="142"/>
      <c r="BT153" s="142"/>
      <c r="BU153" s="142"/>
      <c r="BV153" s="142"/>
      <c r="BW153" s="142"/>
      <c r="BX153" s="142"/>
      <c r="BY153" s="141"/>
      <c r="BZ153" s="141"/>
      <c r="CA153" s="141"/>
      <c r="CB153" s="141"/>
      <c r="CC153" s="141"/>
      <c r="CD153" s="141"/>
      <c r="CE153" s="142"/>
      <c r="CF153" s="142"/>
      <c r="CG153" s="142"/>
      <c r="CH153" s="142"/>
      <c r="CI153" s="142"/>
      <c r="CJ153" s="142"/>
      <c r="CK153" s="142"/>
      <c r="CL153" s="142"/>
      <c r="CM153" s="142"/>
      <c r="CN153" s="142"/>
      <c r="CO153" s="142"/>
      <c r="CP153" s="142"/>
      <c r="CQ153" s="142"/>
    </row>
    <row r="154">
      <c r="A154" s="142"/>
      <c r="B154" s="142"/>
      <c r="C154" s="14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  <c r="AA154" s="142"/>
      <c r="AB154" s="142"/>
      <c r="AC154" s="142"/>
      <c r="AD154" s="142"/>
      <c r="AE154" s="142"/>
      <c r="AF154" s="142"/>
      <c r="AG154" s="142"/>
      <c r="AH154" s="142"/>
      <c r="AI154" s="142"/>
      <c r="AJ154" s="142"/>
      <c r="AK154" s="142"/>
      <c r="AL154" s="142"/>
      <c r="AM154" s="142"/>
      <c r="AN154" s="142"/>
      <c r="AO154" s="142"/>
      <c r="AP154" s="142"/>
      <c r="AQ154" s="142"/>
      <c r="AR154" s="142"/>
      <c r="AS154" s="142"/>
      <c r="AT154" s="142"/>
      <c r="AU154" s="142"/>
      <c r="AV154" s="142"/>
      <c r="AW154" s="142"/>
      <c r="AX154" s="142"/>
      <c r="AY154" s="142"/>
      <c r="AZ154" s="142"/>
      <c r="BA154" s="142"/>
      <c r="BB154" s="142"/>
      <c r="BC154" s="142"/>
      <c r="BD154" s="142"/>
      <c r="BE154" s="142"/>
      <c r="BF154" s="142"/>
      <c r="BG154" s="142"/>
      <c r="BH154" s="142"/>
      <c r="BI154" s="142"/>
      <c r="BJ154" s="142"/>
      <c r="BK154" s="142"/>
      <c r="BL154" s="142"/>
      <c r="BM154" s="142"/>
      <c r="BN154" s="142"/>
      <c r="BO154" s="142"/>
      <c r="BP154" s="142"/>
      <c r="BQ154" s="142"/>
      <c r="BR154" s="142"/>
      <c r="BS154" s="142"/>
      <c r="BT154" s="142"/>
      <c r="BU154" s="142"/>
      <c r="BV154" s="142"/>
      <c r="BW154" s="142"/>
      <c r="BX154" s="142"/>
      <c r="BY154" s="141"/>
      <c r="BZ154" s="141"/>
      <c r="CA154" s="141"/>
      <c r="CB154" s="141"/>
      <c r="CC154" s="141"/>
      <c r="CD154" s="141"/>
      <c r="CE154" s="142"/>
      <c r="CF154" s="142"/>
      <c r="CG154" s="142"/>
      <c r="CH154" s="142"/>
      <c r="CI154" s="142"/>
      <c r="CJ154" s="142"/>
      <c r="CK154" s="142"/>
      <c r="CL154" s="142"/>
      <c r="CM154" s="142"/>
      <c r="CN154" s="142"/>
      <c r="CO154" s="142"/>
      <c r="CP154" s="142"/>
      <c r="CQ154" s="142"/>
    </row>
    <row r="155">
      <c r="A155" s="142"/>
      <c r="B155" s="142"/>
      <c r="C155" s="14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  <c r="AA155" s="142"/>
      <c r="AB155" s="142"/>
      <c r="AC155" s="142"/>
      <c r="AD155" s="142"/>
      <c r="AE155" s="142"/>
      <c r="AF155" s="142"/>
      <c r="AG155" s="142"/>
      <c r="AH155" s="142"/>
      <c r="AI155" s="142"/>
      <c r="AJ155" s="142"/>
      <c r="AK155" s="142"/>
      <c r="AL155" s="142"/>
      <c r="AM155" s="142"/>
      <c r="AN155" s="142"/>
      <c r="AO155" s="142"/>
      <c r="AP155" s="142"/>
      <c r="AQ155" s="142"/>
      <c r="AR155" s="142"/>
      <c r="AS155" s="142"/>
      <c r="AT155" s="142"/>
      <c r="AU155" s="142"/>
      <c r="AV155" s="142"/>
      <c r="AW155" s="142"/>
      <c r="AX155" s="142"/>
      <c r="AY155" s="142"/>
      <c r="AZ155" s="142"/>
      <c r="BA155" s="142"/>
      <c r="BB155" s="142"/>
      <c r="BC155" s="142"/>
      <c r="BD155" s="142"/>
      <c r="BE155" s="142"/>
      <c r="BF155" s="142"/>
      <c r="BG155" s="142"/>
      <c r="BH155" s="142"/>
      <c r="BI155" s="142"/>
      <c r="BJ155" s="142"/>
      <c r="BK155" s="142"/>
      <c r="BL155" s="142"/>
      <c r="BM155" s="142"/>
      <c r="BN155" s="142"/>
      <c r="BO155" s="142"/>
      <c r="BP155" s="142"/>
      <c r="BQ155" s="142"/>
      <c r="BR155" s="142"/>
      <c r="BS155" s="142"/>
      <c r="BT155" s="142"/>
      <c r="BU155" s="142"/>
      <c r="BV155" s="142"/>
      <c r="BW155" s="142"/>
      <c r="BX155" s="142"/>
      <c r="BY155" s="141"/>
      <c r="BZ155" s="141"/>
      <c r="CA155" s="141"/>
      <c r="CB155" s="141"/>
      <c r="CC155" s="141"/>
      <c r="CD155" s="141"/>
      <c r="CE155" s="142"/>
      <c r="CF155" s="142"/>
      <c r="CG155" s="142"/>
      <c r="CH155" s="142"/>
      <c r="CI155" s="142"/>
      <c r="CJ155" s="142"/>
      <c r="CK155" s="142"/>
      <c r="CL155" s="142"/>
      <c r="CM155" s="142"/>
      <c r="CN155" s="142"/>
      <c r="CO155" s="142"/>
      <c r="CP155" s="142"/>
      <c r="CQ155" s="142"/>
    </row>
    <row r="156">
      <c r="A156" s="142"/>
      <c r="B156" s="142"/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  <c r="AA156" s="142"/>
      <c r="AB156" s="142"/>
      <c r="AC156" s="142"/>
      <c r="AD156" s="142"/>
      <c r="AE156" s="142"/>
      <c r="AF156" s="142"/>
      <c r="AG156" s="142"/>
      <c r="AH156" s="142"/>
      <c r="AI156" s="142"/>
      <c r="AJ156" s="142"/>
      <c r="AK156" s="142"/>
      <c r="AL156" s="142"/>
      <c r="AM156" s="142"/>
      <c r="AN156" s="142"/>
      <c r="AO156" s="142"/>
      <c r="AP156" s="142"/>
      <c r="AQ156" s="142"/>
      <c r="AR156" s="142"/>
      <c r="AS156" s="142"/>
      <c r="AT156" s="142"/>
      <c r="AU156" s="142"/>
      <c r="AV156" s="142"/>
      <c r="AW156" s="142"/>
      <c r="AX156" s="142"/>
      <c r="AY156" s="142"/>
      <c r="AZ156" s="142"/>
      <c r="BA156" s="142"/>
      <c r="BB156" s="142"/>
      <c r="BC156" s="142"/>
      <c r="BD156" s="142"/>
      <c r="BE156" s="142"/>
      <c r="BF156" s="142"/>
      <c r="BG156" s="142"/>
      <c r="BH156" s="142"/>
      <c r="BI156" s="142"/>
      <c r="BJ156" s="142"/>
      <c r="BK156" s="142"/>
      <c r="BL156" s="142"/>
      <c r="BM156" s="142"/>
      <c r="BN156" s="142"/>
      <c r="BO156" s="142"/>
      <c r="BP156" s="142"/>
      <c r="BQ156" s="142"/>
      <c r="BR156" s="142"/>
      <c r="BS156" s="142"/>
      <c r="BT156" s="142"/>
      <c r="BU156" s="142"/>
      <c r="BV156" s="142"/>
      <c r="BW156" s="142"/>
      <c r="BX156" s="142"/>
      <c r="BY156" s="141"/>
      <c r="BZ156" s="141"/>
      <c r="CA156" s="141"/>
      <c r="CB156" s="141"/>
      <c r="CC156" s="141"/>
      <c r="CD156" s="141"/>
      <c r="CE156" s="142"/>
      <c r="CF156" s="142"/>
      <c r="CG156" s="142"/>
      <c r="CH156" s="142"/>
      <c r="CI156" s="142"/>
      <c r="CJ156" s="142"/>
      <c r="CK156" s="142"/>
      <c r="CL156" s="142"/>
      <c r="CM156" s="142"/>
      <c r="CN156" s="142"/>
      <c r="CO156" s="142"/>
      <c r="CP156" s="142"/>
      <c r="CQ156" s="142"/>
    </row>
    <row r="157">
      <c r="A157" s="142"/>
      <c r="B157" s="142"/>
      <c r="C157" s="142"/>
      <c r="D157" s="142"/>
      <c r="E157" s="142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  <c r="AA157" s="142"/>
      <c r="AB157" s="142"/>
      <c r="AC157" s="142"/>
      <c r="AD157" s="142"/>
      <c r="AE157" s="142"/>
      <c r="AF157" s="142"/>
      <c r="AG157" s="142"/>
      <c r="AH157" s="142"/>
      <c r="AI157" s="142"/>
      <c r="AJ157" s="142"/>
      <c r="AK157" s="142"/>
      <c r="AL157" s="142"/>
      <c r="AM157" s="142"/>
      <c r="AN157" s="142"/>
      <c r="AO157" s="142"/>
      <c r="AP157" s="142"/>
      <c r="AQ157" s="142"/>
      <c r="AR157" s="142"/>
      <c r="AS157" s="142"/>
      <c r="AT157" s="142"/>
      <c r="AU157" s="142"/>
      <c r="AV157" s="142"/>
      <c r="AW157" s="142"/>
      <c r="AX157" s="142"/>
      <c r="AY157" s="142"/>
      <c r="AZ157" s="142"/>
      <c r="BA157" s="142"/>
      <c r="BB157" s="142"/>
      <c r="BC157" s="142"/>
      <c r="BD157" s="142"/>
      <c r="BE157" s="142"/>
      <c r="BF157" s="142"/>
      <c r="BG157" s="142"/>
      <c r="BH157" s="142"/>
      <c r="BI157" s="142"/>
      <c r="BJ157" s="142"/>
      <c r="BK157" s="142"/>
      <c r="BL157" s="142"/>
      <c r="BM157" s="142"/>
      <c r="BN157" s="142"/>
      <c r="BO157" s="142"/>
      <c r="BP157" s="142"/>
      <c r="BQ157" s="142"/>
      <c r="BR157" s="142"/>
      <c r="BS157" s="142"/>
      <c r="BT157" s="142"/>
      <c r="BU157" s="142"/>
      <c r="BV157" s="142"/>
      <c r="BW157" s="142"/>
      <c r="BX157" s="142"/>
      <c r="BY157" s="141"/>
      <c r="BZ157" s="141"/>
      <c r="CA157" s="141"/>
      <c r="CB157" s="141"/>
      <c r="CC157" s="141"/>
      <c r="CD157" s="141"/>
      <c r="CE157" s="142"/>
      <c r="CF157" s="142"/>
      <c r="CG157" s="142"/>
      <c r="CH157" s="142"/>
      <c r="CI157" s="142"/>
      <c r="CJ157" s="142"/>
      <c r="CK157" s="142"/>
      <c r="CL157" s="142"/>
      <c r="CM157" s="142"/>
      <c r="CN157" s="142"/>
      <c r="CO157" s="142"/>
      <c r="CP157" s="142"/>
      <c r="CQ157" s="142"/>
    </row>
    <row r="158">
      <c r="A158" s="142"/>
      <c r="B158" s="142"/>
      <c r="C158" s="142"/>
      <c r="D158" s="142"/>
      <c r="E158" s="142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  <c r="AA158" s="142"/>
      <c r="AB158" s="142"/>
      <c r="AC158" s="142"/>
      <c r="AD158" s="142"/>
      <c r="AE158" s="142"/>
      <c r="AF158" s="142"/>
      <c r="AG158" s="142"/>
      <c r="AH158" s="142"/>
      <c r="AI158" s="142"/>
      <c r="AJ158" s="142"/>
      <c r="AK158" s="142"/>
      <c r="AL158" s="142"/>
      <c r="AM158" s="142"/>
      <c r="AN158" s="142"/>
      <c r="AO158" s="142"/>
      <c r="AP158" s="142"/>
      <c r="AQ158" s="142"/>
      <c r="AR158" s="142"/>
      <c r="AS158" s="142"/>
      <c r="AT158" s="142"/>
      <c r="AU158" s="142"/>
      <c r="AV158" s="142"/>
      <c r="AW158" s="142"/>
      <c r="AX158" s="142"/>
      <c r="AY158" s="142"/>
      <c r="AZ158" s="142"/>
      <c r="BA158" s="142"/>
      <c r="BB158" s="142"/>
      <c r="BC158" s="142"/>
      <c r="BD158" s="142"/>
      <c r="BE158" s="142"/>
      <c r="BF158" s="142"/>
      <c r="BG158" s="142"/>
      <c r="BH158" s="142"/>
      <c r="BI158" s="142"/>
      <c r="BJ158" s="142"/>
      <c r="BK158" s="142"/>
      <c r="BL158" s="142"/>
      <c r="BM158" s="142"/>
      <c r="BN158" s="142"/>
      <c r="BO158" s="142"/>
      <c r="BP158" s="142"/>
      <c r="BQ158" s="142"/>
      <c r="BR158" s="142"/>
      <c r="BS158" s="142"/>
      <c r="BT158" s="142"/>
      <c r="BU158" s="142"/>
      <c r="BV158" s="142"/>
      <c r="BW158" s="142"/>
      <c r="BX158" s="142"/>
      <c r="BY158" s="141"/>
      <c r="BZ158" s="141"/>
      <c r="CA158" s="141"/>
      <c r="CB158" s="141"/>
      <c r="CC158" s="141"/>
      <c r="CD158" s="141"/>
      <c r="CE158" s="142"/>
      <c r="CF158" s="142"/>
      <c r="CG158" s="142"/>
      <c r="CH158" s="142"/>
      <c r="CI158" s="142"/>
      <c r="CJ158" s="142"/>
      <c r="CK158" s="142"/>
      <c r="CL158" s="142"/>
      <c r="CM158" s="142"/>
      <c r="CN158" s="142"/>
      <c r="CO158" s="142"/>
      <c r="CP158" s="142"/>
      <c r="CQ158" s="142"/>
    </row>
    <row r="159">
      <c r="A159" s="142"/>
      <c r="B159" s="142"/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  <c r="AA159" s="142"/>
      <c r="AB159" s="142"/>
      <c r="AC159" s="142"/>
      <c r="AD159" s="142"/>
      <c r="AE159" s="142"/>
      <c r="AF159" s="142"/>
      <c r="AG159" s="142"/>
      <c r="AH159" s="142"/>
      <c r="AI159" s="142"/>
      <c r="AJ159" s="142"/>
      <c r="AK159" s="142"/>
      <c r="AL159" s="142"/>
      <c r="AM159" s="142"/>
      <c r="AN159" s="142"/>
      <c r="AO159" s="142"/>
      <c r="AP159" s="142"/>
      <c r="AQ159" s="142"/>
      <c r="AR159" s="142"/>
      <c r="AS159" s="142"/>
      <c r="AT159" s="142"/>
      <c r="AU159" s="142"/>
      <c r="AV159" s="142"/>
      <c r="AW159" s="142"/>
      <c r="AX159" s="142"/>
      <c r="AY159" s="142"/>
      <c r="AZ159" s="142"/>
      <c r="BA159" s="142"/>
      <c r="BB159" s="142"/>
      <c r="BC159" s="142"/>
      <c r="BD159" s="142"/>
      <c r="BE159" s="142"/>
      <c r="BF159" s="142"/>
      <c r="BG159" s="142"/>
      <c r="BH159" s="142"/>
      <c r="BI159" s="142"/>
      <c r="BJ159" s="142"/>
      <c r="BK159" s="142"/>
      <c r="BL159" s="142"/>
      <c r="BM159" s="142"/>
      <c r="BN159" s="142"/>
      <c r="BO159" s="142"/>
      <c r="BP159" s="142"/>
      <c r="BQ159" s="142"/>
      <c r="BR159" s="142"/>
      <c r="BS159" s="142"/>
      <c r="BT159" s="142"/>
      <c r="BU159" s="142"/>
      <c r="BV159" s="142"/>
      <c r="BW159" s="142"/>
      <c r="BX159" s="142"/>
      <c r="BY159" s="141"/>
      <c r="BZ159" s="141"/>
      <c r="CA159" s="141"/>
      <c r="CB159" s="141"/>
      <c r="CC159" s="141"/>
      <c r="CD159" s="141"/>
      <c r="CE159" s="142"/>
      <c r="CF159" s="142"/>
      <c r="CG159" s="142"/>
      <c r="CH159" s="142"/>
      <c r="CI159" s="142"/>
      <c r="CJ159" s="142"/>
      <c r="CK159" s="142"/>
      <c r="CL159" s="142"/>
      <c r="CM159" s="142"/>
      <c r="CN159" s="142"/>
      <c r="CO159" s="142"/>
      <c r="CP159" s="142"/>
      <c r="CQ159" s="142"/>
    </row>
    <row r="160">
      <c r="A160" s="142"/>
      <c r="B160" s="142"/>
      <c r="C160" s="142"/>
      <c r="D160" s="14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  <c r="AA160" s="142"/>
      <c r="AB160" s="142"/>
      <c r="AC160" s="142"/>
      <c r="AD160" s="142"/>
      <c r="AE160" s="142"/>
      <c r="AF160" s="142"/>
      <c r="AG160" s="142"/>
      <c r="AH160" s="142"/>
      <c r="AI160" s="142"/>
      <c r="AJ160" s="142"/>
      <c r="AK160" s="142"/>
      <c r="AL160" s="142"/>
      <c r="AM160" s="142"/>
      <c r="AN160" s="142"/>
      <c r="AO160" s="142"/>
      <c r="AP160" s="142"/>
      <c r="AQ160" s="142"/>
      <c r="AR160" s="142"/>
      <c r="AS160" s="142"/>
      <c r="AT160" s="142"/>
      <c r="AU160" s="142"/>
      <c r="AV160" s="142"/>
      <c r="AW160" s="142"/>
      <c r="AX160" s="142"/>
      <c r="AY160" s="142"/>
      <c r="AZ160" s="142"/>
      <c r="BA160" s="142"/>
      <c r="BB160" s="142"/>
      <c r="BC160" s="142"/>
      <c r="BD160" s="142"/>
      <c r="BE160" s="142"/>
      <c r="BF160" s="142"/>
      <c r="BG160" s="142"/>
      <c r="BH160" s="142"/>
      <c r="BI160" s="142"/>
      <c r="BJ160" s="142"/>
      <c r="BK160" s="142"/>
      <c r="BL160" s="142"/>
      <c r="BM160" s="142"/>
      <c r="BN160" s="142"/>
      <c r="BO160" s="142"/>
      <c r="BP160" s="142"/>
      <c r="BQ160" s="142"/>
      <c r="BR160" s="142"/>
      <c r="BS160" s="142"/>
      <c r="BT160" s="142"/>
      <c r="BU160" s="142"/>
      <c r="BV160" s="142"/>
      <c r="BW160" s="142"/>
      <c r="BX160" s="142"/>
      <c r="BY160" s="141"/>
      <c r="BZ160" s="141"/>
      <c r="CA160" s="141"/>
      <c r="CB160" s="141"/>
      <c r="CC160" s="141"/>
      <c r="CD160" s="141"/>
      <c r="CE160" s="142"/>
      <c r="CF160" s="142"/>
      <c r="CG160" s="142"/>
      <c r="CH160" s="142"/>
      <c r="CI160" s="142"/>
      <c r="CJ160" s="142"/>
      <c r="CK160" s="142"/>
      <c r="CL160" s="142"/>
      <c r="CM160" s="142"/>
      <c r="CN160" s="142"/>
      <c r="CO160" s="142"/>
      <c r="CP160" s="142"/>
      <c r="CQ160" s="142"/>
    </row>
    <row r="161">
      <c r="A161" s="142"/>
      <c r="B161" s="142"/>
      <c r="C161" s="142"/>
      <c r="D161" s="142"/>
      <c r="E161" s="142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  <c r="AA161" s="142"/>
      <c r="AB161" s="142"/>
      <c r="AC161" s="142"/>
      <c r="AD161" s="142"/>
      <c r="AE161" s="142"/>
      <c r="AF161" s="142"/>
      <c r="AG161" s="142"/>
      <c r="AH161" s="142"/>
      <c r="AI161" s="142"/>
      <c r="AJ161" s="142"/>
      <c r="AK161" s="142"/>
      <c r="AL161" s="142"/>
      <c r="AM161" s="142"/>
      <c r="AN161" s="142"/>
      <c r="AO161" s="142"/>
      <c r="AP161" s="142"/>
      <c r="AQ161" s="142"/>
      <c r="AR161" s="142"/>
      <c r="AS161" s="142"/>
      <c r="AT161" s="142"/>
      <c r="AU161" s="142"/>
      <c r="AV161" s="142"/>
      <c r="AW161" s="142"/>
      <c r="AX161" s="142"/>
      <c r="AY161" s="142"/>
      <c r="AZ161" s="142"/>
      <c r="BA161" s="142"/>
      <c r="BB161" s="142"/>
      <c r="BC161" s="142"/>
      <c r="BD161" s="142"/>
      <c r="BE161" s="142"/>
      <c r="BF161" s="142"/>
      <c r="BG161" s="142"/>
      <c r="BH161" s="142"/>
      <c r="BI161" s="142"/>
      <c r="BJ161" s="142"/>
      <c r="BK161" s="142"/>
      <c r="BL161" s="142"/>
      <c r="BM161" s="142"/>
      <c r="BN161" s="142"/>
      <c r="BO161" s="142"/>
      <c r="BP161" s="142"/>
      <c r="BQ161" s="142"/>
      <c r="BR161" s="142"/>
      <c r="BS161" s="142"/>
      <c r="BT161" s="142"/>
      <c r="BU161" s="142"/>
      <c r="BV161" s="142"/>
      <c r="BW161" s="142"/>
      <c r="BX161" s="142"/>
      <c r="BY161" s="141"/>
      <c r="BZ161" s="141"/>
      <c r="CA161" s="141"/>
      <c r="CB161" s="141"/>
      <c r="CC161" s="141"/>
      <c r="CD161" s="141"/>
      <c r="CE161" s="142"/>
      <c r="CF161" s="142"/>
      <c r="CG161" s="142"/>
      <c r="CH161" s="142"/>
      <c r="CI161" s="142"/>
      <c r="CJ161" s="142"/>
      <c r="CK161" s="142"/>
      <c r="CL161" s="142"/>
      <c r="CM161" s="142"/>
      <c r="CN161" s="142"/>
      <c r="CO161" s="142"/>
      <c r="CP161" s="142"/>
      <c r="CQ161" s="142"/>
    </row>
    <row r="162">
      <c r="A162" s="142"/>
      <c r="B162" s="142"/>
      <c r="C162" s="142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  <c r="AA162" s="142"/>
      <c r="AB162" s="142"/>
      <c r="AC162" s="142"/>
      <c r="AD162" s="142"/>
      <c r="AE162" s="142"/>
      <c r="AF162" s="142"/>
      <c r="AG162" s="142"/>
      <c r="AH162" s="142"/>
      <c r="AI162" s="142"/>
      <c r="AJ162" s="142"/>
      <c r="AK162" s="142"/>
      <c r="AL162" s="142"/>
      <c r="AM162" s="142"/>
      <c r="AN162" s="142"/>
      <c r="AO162" s="142"/>
      <c r="AP162" s="142"/>
      <c r="AQ162" s="142"/>
      <c r="AR162" s="142"/>
      <c r="AS162" s="142"/>
      <c r="AT162" s="142"/>
      <c r="AU162" s="142"/>
      <c r="AV162" s="142"/>
      <c r="AW162" s="142"/>
      <c r="AX162" s="142"/>
      <c r="AY162" s="142"/>
      <c r="AZ162" s="142"/>
      <c r="BA162" s="142"/>
      <c r="BB162" s="142"/>
      <c r="BC162" s="142"/>
      <c r="BD162" s="142"/>
      <c r="BE162" s="142"/>
      <c r="BF162" s="142"/>
      <c r="BG162" s="142"/>
      <c r="BH162" s="142"/>
      <c r="BI162" s="142"/>
      <c r="BJ162" s="142"/>
      <c r="BK162" s="142"/>
      <c r="BL162" s="142"/>
      <c r="BM162" s="142"/>
      <c r="BN162" s="142"/>
      <c r="BO162" s="142"/>
      <c r="BP162" s="142"/>
      <c r="BQ162" s="142"/>
      <c r="BR162" s="142"/>
      <c r="BS162" s="142"/>
      <c r="BT162" s="142"/>
      <c r="BU162" s="142"/>
      <c r="BV162" s="142"/>
      <c r="BW162" s="142"/>
      <c r="BX162" s="142"/>
      <c r="BY162" s="141"/>
      <c r="BZ162" s="141"/>
      <c r="CA162" s="141"/>
      <c r="CB162" s="141"/>
      <c r="CC162" s="141"/>
      <c r="CD162" s="141"/>
      <c r="CE162" s="142"/>
      <c r="CF162" s="142"/>
      <c r="CG162" s="142"/>
      <c r="CH162" s="142"/>
      <c r="CI162" s="142"/>
      <c r="CJ162" s="142"/>
      <c r="CK162" s="142"/>
      <c r="CL162" s="142"/>
      <c r="CM162" s="142"/>
      <c r="CN162" s="142"/>
      <c r="CO162" s="142"/>
      <c r="CP162" s="142"/>
      <c r="CQ162" s="142"/>
    </row>
    <row r="163">
      <c r="A163" s="142"/>
      <c r="B163" s="142"/>
      <c r="C163" s="142"/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  <c r="AA163" s="142"/>
      <c r="AB163" s="142"/>
      <c r="AC163" s="142"/>
      <c r="AD163" s="142"/>
      <c r="AE163" s="142"/>
      <c r="AF163" s="142"/>
      <c r="AG163" s="142"/>
      <c r="AH163" s="142"/>
      <c r="AI163" s="142"/>
      <c r="AJ163" s="142"/>
      <c r="AK163" s="142"/>
      <c r="AL163" s="142"/>
      <c r="AM163" s="142"/>
      <c r="AN163" s="142"/>
      <c r="AO163" s="142"/>
      <c r="AP163" s="142"/>
      <c r="AQ163" s="142"/>
      <c r="AR163" s="142"/>
      <c r="AS163" s="142"/>
      <c r="AT163" s="142"/>
      <c r="AU163" s="142"/>
      <c r="AV163" s="142"/>
      <c r="AW163" s="142"/>
      <c r="AX163" s="142"/>
      <c r="AY163" s="142"/>
      <c r="AZ163" s="142"/>
      <c r="BA163" s="142"/>
      <c r="BB163" s="142"/>
      <c r="BC163" s="142"/>
      <c r="BD163" s="142"/>
      <c r="BE163" s="142"/>
      <c r="BF163" s="142"/>
      <c r="BG163" s="142"/>
      <c r="BH163" s="142"/>
      <c r="BI163" s="142"/>
      <c r="BJ163" s="142"/>
      <c r="BK163" s="142"/>
      <c r="BL163" s="142"/>
      <c r="BM163" s="142"/>
      <c r="BN163" s="142"/>
      <c r="BO163" s="142"/>
      <c r="BP163" s="142"/>
      <c r="BQ163" s="142"/>
      <c r="BR163" s="142"/>
      <c r="BS163" s="142"/>
      <c r="BT163" s="142"/>
      <c r="BU163" s="142"/>
      <c r="BV163" s="142"/>
      <c r="BW163" s="142"/>
      <c r="BX163" s="142"/>
      <c r="BY163" s="141"/>
      <c r="BZ163" s="141"/>
      <c r="CA163" s="141"/>
      <c r="CB163" s="141"/>
      <c r="CC163" s="141"/>
      <c r="CD163" s="141"/>
      <c r="CE163" s="142"/>
      <c r="CF163" s="142"/>
      <c r="CG163" s="142"/>
      <c r="CH163" s="142"/>
      <c r="CI163" s="142"/>
      <c r="CJ163" s="142"/>
      <c r="CK163" s="142"/>
      <c r="CL163" s="142"/>
      <c r="CM163" s="142"/>
      <c r="CN163" s="142"/>
      <c r="CO163" s="142"/>
      <c r="CP163" s="142"/>
      <c r="CQ163" s="142"/>
    </row>
    <row r="164">
      <c r="A164" s="142"/>
      <c r="B164" s="142"/>
      <c r="C164" s="142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  <c r="AA164" s="142"/>
      <c r="AB164" s="142"/>
      <c r="AC164" s="142"/>
      <c r="AD164" s="142"/>
      <c r="AE164" s="142"/>
      <c r="AF164" s="142"/>
      <c r="AG164" s="142"/>
      <c r="AH164" s="142"/>
      <c r="AI164" s="142"/>
      <c r="AJ164" s="142"/>
      <c r="AK164" s="142"/>
      <c r="AL164" s="142"/>
      <c r="AM164" s="142"/>
      <c r="AN164" s="142"/>
      <c r="AO164" s="142"/>
      <c r="AP164" s="142"/>
      <c r="AQ164" s="142"/>
      <c r="AR164" s="142"/>
      <c r="AS164" s="142"/>
      <c r="AT164" s="142"/>
      <c r="AU164" s="142"/>
      <c r="AV164" s="142"/>
      <c r="AW164" s="142"/>
      <c r="AX164" s="142"/>
      <c r="AY164" s="142"/>
      <c r="AZ164" s="142"/>
      <c r="BA164" s="142"/>
      <c r="BB164" s="142"/>
      <c r="BC164" s="142"/>
      <c r="BD164" s="142"/>
      <c r="BE164" s="142"/>
      <c r="BF164" s="142"/>
      <c r="BG164" s="142"/>
      <c r="BH164" s="142"/>
      <c r="BI164" s="142"/>
      <c r="BJ164" s="142"/>
      <c r="BK164" s="142"/>
      <c r="BL164" s="142"/>
      <c r="BM164" s="142"/>
      <c r="BN164" s="142"/>
      <c r="BO164" s="142"/>
      <c r="BP164" s="142"/>
      <c r="BQ164" s="142"/>
      <c r="BR164" s="142"/>
      <c r="BS164" s="142"/>
      <c r="BT164" s="142"/>
      <c r="BU164" s="142"/>
      <c r="BV164" s="142"/>
      <c r="BW164" s="142"/>
      <c r="BX164" s="142"/>
      <c r="BY164" s="141"/>
      <c r="BZ164" s="141"/>
      <c r="CA164" s="141"/>
      <c r="CB164" s="141"/>
      <c r="CC164" s="141"/>
      <c r="CD164" s="141"/>
      <c r="CE164" s="142"/>
      <c r="CF164" s="142"/>
      <c r="CG164" s="142"/>
      <c r="CH164" s="142"/>
      <c r="CI164" s="142"/>
      <c r="CJ164" s="142"/>
      <c r="CK164" s="142"/>
      <c r="CL164" s="142"/>
      <c r="CM164" s="142"/>
      <c r="CN164" s="142"/>
      <c r="CO164" s="142"/>
      <c r="CP164" s="142"/>
      <c r="CQ164" s="142"/>
    </row>
    <row r="165">
      <c r="A165" s="142"/>
      <c r="B165" s="142"/>
      <c r="C165" s="142"/>
      <c r="D165" s="142"/>
      <c r="E165" s="142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  <c r="AA165" s="142"/>
      <c r="AB165" s="142"/>
      <c r="AC165" s="142"/>
      <c r="AD165" s="142"/>
      <c r="AE165" s="142"/>
      <c r="AF165" s="142"/>
      <c r="AG165" s="142"/>
      <c r="AH165" s="142"/>
      <c r="AI165" s="142"/>
      <c r="AJ165" s="142"/>
      <c r="AK165" s="142"/>
      <c r="AL165" s="142"/>
      <c r="AM165" s="142"/>
      <c r="AN165" s="142"/>
      <c r="AO165" s="142"/>
      <c r="AP165" s="142"/>
      <c r="AQ165" s="142"/>
      <c r="AR165" s="142"/>
      <c r="AS165" s="142"/>
      <c r="AT165" s="142"/>
      <c r="AU165" s="142"/>
      <c r="AV165" s="142"/>
      <c r="AW165" s="142"/>
      <c r="AX165" s="142"/>
      <c r="AY165" s="142"/>
      <c r="AZ165" s="142"/>
      <c r="BA165" s="142"/>
      <c r="BB165" s="142"/>
      <c r="BC165" s="142"/>
      <c r="BD165" s="142"/>
      <c r="BE165" s="142"/>
      <c r="BF165" s="142"/>
      <c r="BG165" s="142"/>
      <c r="BH165" s="142"/>
      <c r="BI165" s="142"/>
      <c r="BJ165" s="142"/>
      <c r="BK165" s="142"/>
      <c r="BL165" s="142"/>
      <c r="BM165" s="142"/>
      <c r="BN165" s="142"/>
      <c r="BO165" s="142"/>
      <c r="BP165" s="142"/>
      <c r="BQ165" s="142"/>
      <c r="BR165" s="142"/>
      <c r="BS165" s="142"/>
      <c r="BT165" s="142"/>
      <c r="BU165" s="142"/>
      <c r="BV165" s="142"/>
      <c r="BW165" s="142"/>
      <c r="BX165" s="142"/>
      <c r="BY165" s="141"/>
      <c r="BZ165" s="141"/>
      <c r="CA165" s="141"/>
      <c r="CB165" s="141"/>
      <c r="CC165" s="141"/>
      <c r="CD165" s="141"/>
      <c r="CE165" s="142"/>
      <c r="CF165" s="142"/>
      <c r="CG165" s="142"/>
      <c r="CH165" s="142"/>
      <c r="CI165" s="142"/>
      <c r="CJ165" s="142"/>
      <c r="CK165" s="142"/>
      <c r="CL165" s="142"/>
      <c r="CM165" s="142"/>
      <c r="CN165" s="142"/>
      <c r="CO165" s="142"/>
      <c r="CP165" s="142"/>
      <c r="CQ165" s="142"/>
    </row>
    <row r="166">
      <c r="A166" s="142"/>
      <c r="B166" s="142"/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  <c r="AA166" s="142"/>
      <c r="AB166" s="142"/>
      <c r="AC166" s="142"/>
      <c r="AD166" s="142"/>
      <c r="AE166" s="142"/>
      <c r="AF166" s="142"/>
      <c r="AG166" s="142"/>
      <c r="AH166" s="142"/>
      <c r="AI166" s="142"/>
      <c r="AJ166" s="142"/>
      <c r="AK166" s="142"/>
      <c r="AL166" s="142"/>
      <c r="AM166" s="142"/>
      <c r="AN166" s="142"/>
      <c r="AO166" s="142"/>
      <c r="AP166" s="142"/>
      <c r="AQ166" s="142"/>
      <c r="AR166" s="142"/>
      <c r="AS166" s="142"/>
      <c r="AT166" s="142"/>
      <c r="AU166" s="142"/>
      <c r="AV166" s="142"/>
      <c r="AW166" s="142"/>
      <c r="AX166" s="142"/>
      <c r="AY166" s="142"/>
      <c r="AZ166" s="142"/>
      <c r="BA166" s="142"/>
      <c r="BB166" s="142"/>
      <c r="BC166" s="142"/>
      <c r="BD166" s="142"/>
      <c r="BE166" s="142"/>
      <c r="BF166" s="142"/>
      <c r="BG166" s="142"/>
      <c r="BH166" s="142"/>
      <c r="BI166" s="142"/>
      <c r="BJ166" s="142"/>
      <c r="BK166" s="142"/>
      <c r="BL166" s="142"/>
      <c r="BM166" s="142"/>
      <c r="BN166" s="142"/>
      <c r="BO166" s="142"/>
      <c r="BP166" s="142"/>
      <c r="BQ166" s="142"/>
      <c r="BR166" s="142"/>
      <c r="BS166" s="142"/>
      <c r="BT166" s="142"/>
      <c r="BU166" s="142"/>
      <c r="BV166" s="142"/>
      <c r="BW166" s="142"/>
      <c r="BX166" s="142"/>
      <c r="BY166" s="141"/>
      <c r="BZ166" s="141"/>
      <c r="CA166" s="141"/>
      <c r="CB166" s="141"/>
      <c r="CC166" s="141"/>
      <c r="CD166" s="141"/>
      <c r="CE166" s="142"/>
      <c r="CF166" s="142"/>
      <c r="CG166" s="142"/>
      <c r="CH166" s="142"/>
      <c r="CI166" s="142"/>
      <c r="CJ166" s="142"/>
      <c r="CK166" s="142"/>
      <c r="CL166" s="142"/>
      <c r="CM166" s="142"/>
      <c r="CN166" s="142"/>
      <c r="CO166" s="142"/>
      <c r="CP166" s="142"/>
      <c r="CQ166" s="142"/>
    </row>
    <row r="167">
      <c r="A167" s="142"/>
      <c r="B167" s="142"/>
      <c r="C167" s="14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  <c r="AA167" s="142"/>
      <c r="AB167" s="142"/>
      <c r="AC167" s="142"/>
      <c r="AD167" s="142"/>
      <c r="AE167" s="142"/>
      <c r="AF167" s="142"/>
      <c r="AG167" s="142"/>
      <c r="AH167" s="142"/>
      <c r="AI167" s="142"/>
      <c r="AJ167" s="142"/>
      <c r="AK167" s="142"/>
      <c r="AL167" s="142"/>
      <c r="AM167" s="142"/>
      <c r="AN167" s="142"/>
      <c r="AO167" s="142"/>
      <c r="AP167" s="142"/>
      <c r="AQ167" s="142"/>
      <c r="AR167" s="142"/>
      <c r="AS167" s="142"/>
      <c r="AT167" s="142"/>
      <c r="AU167" s="142"/>
      <c r="AV167" s="142"/>
      <c r="AW167" s="142"/>
      <c r="AX167" s="142"/>
      <c r="AY167" s="142"/>
      <c r="AZ167" s="142"/>
      <c r="BA167" s="142"/>
      <c r="BB167" s="142"/>
      <c r="BC167" s="142"/>
      <c r="BD167" s="142"/>
      <c r="BE167" s="142"/>
      <c r="BF167" s="142"/>
      <c r="BG167" s="142"/>
      <c r="BH167" s="142"/>
      <c r="BI167" s="142"/>
      <c r="BJ167" s="142"/>
      <c r="BK167" s="142"/>
      <c r="BL167" s="142"/>
      <c r="BM167" s="142"/>
      <c r="BN167" s="142"/>
      <c r="BO167" s="142"/>
      <c r="BP167" s="142"/>
      <c r="BQ167" s="142"/>
      <c r="BR167" s="142"/>
      <c r="BS167" s="142"/>
      <c r="BT167" s="142"/>
      <c r="BU167" s="142"/>
      <c r="BV167" s="142"/>
      <c r="BW167" s="142"/>
      <c r="BX167" s="142"/>
      <c r="BY167" s="141"/>
      <c r="BZ167" s="141"/>
      <c r="CA167" s="141"/>
      <c r="CB167" s="141"/>
      <c r="CC167" s="141"/>
      <c r="CD167" s="141"/>
      <c r="CE167" s="142"/>
      <c r="CF167" s="142"/>
      <c r="CG167" s="142"/>
      <c r="CH167" s="142"/>
      <c r="CI167" s="142"/>
      <c r="CJ167" s="142"/>
      <c r="CK167" s="142"/>
      <c r="CL167" s="142"/>
      <c r="CM167" s="142"/>
      <c r="CN167" s="142"/>
      <c r="CO167" s="142"/>
      <c r="CP167" s="142"/>
      <c r="CQ167" s="142"/>
    </row>
    <row r="168">
      <c r="A168" s="142"/>
      <c r="B168" s="142"/>
      <c r="C168" s="14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  <c r="AA168" s="142"/>
      <c r="AB168" s="142"/>
      <c r="AC168" s="142"/>
      <c r="AD168" s="142"/>
      <c r="AE168" s="142"/>
      <c r="AF168" s="142"/>
      <c r="AG168" s="142"/>
      <c r="AH168" s="142"/>
      <c r="AI168" s="142"/>
      <c r="AJ168" s="142"/>
      <c r="AK168" s="142"/>
      <c r="AL168" s="142"/>
      <c r="AM168" s="142"/>
      <c r="AN168" s="142"/>
      <c r="AO168" s="142"/>
      <c r="AP168" s="142"/>
      <c r="AQ168" s="142"/>
      <c r="AR168" s="142"/>
      <c r="AS168" s="142"/>
      <c r="AT168" s="142"/>
      <c r="AU168" s="142"/>
      <c r="AV168" s="142"/>
      <c r="AW168" s="142"/>
      <c r="AX168" s="142"/>
      <c r="AY168" s="142"/>
      <c r="AZ168" s="142"/>
      <c r="BA168" s="142"/>
      <c r="BB168" s="142"/>
      <c r="BC168" s="142"/>
      <c r="BD168" s="142"/>
      <c r="BE168" s="142"/>
      <c r="BF168" s="142"/>
      <c r="BG168" s="142"/>
      <c r="BH168" s="142"/>
      <c r="BI168" s="142"/>
      <c r="BJ168" s="142"/>
      <c r="BK168" s="142"/>
      <c r="BL168" s="142"/>
      <c r="BM168" s="142"/>
      <c r="BN168" s="142"/>
      <c r="BO168" s="142"/>
      <c r="BP168" s="142"/>
      <c r="BQ168" s="142"/>
      <c r="BR168" s="142"/>
      <c r="BS168" s="142"/>
      <c r="BT168" s="142"/>
      <c r="BU168" s="142"/>
      <c r="BV168" s="142"/>
      <c r="BW168" s="142"/>
      <c r="BX168" s="142"/>
      <c r="BY168" s="141"/>
      <c r="BZ168" s="141"/>
      <c r="CA168" s="141"/>
      <c r="CB168" s="141"/>
      <c r="CC168" s="141"/>
      <c r="CD168" s="141"/>
      <c r="CE168" s="142"/>
      <c r="CF168" s="142"/>
      <c r="CG168" s="142"/>
      <c r="CH168" s="142"/>
      <c r="CI168" s="142"/>
      <c r="CJ168" s="142"/>
      <c r="CK168" s="142"/>
      <c r="CL168" s="142"/>
      <c r="CM168" s="142"/>
      <c r="CN168" s="142"/>
      <c r="CO168" s="142"/>
      <c r="CP168" s="142"/>
      <c r="CQ168" s="142"/>
    </row>
    <row r="169">
      <c r="A169" s="142"/>
      <c r="B169" s="142"/>
      <c r="C169" s="142"/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  <c r="AA169" s="142"/>
      <c r="AB169" s="142"/>
      <c r="AC169" s="142"/>
      <c r="AD169" s="142"/>
      <c r="AE169" s="142"/>
      <c r="AF169" s="142"/>
      <c r="AG169" s="142"/>
      <c r="AH169" s="142"/>
      <c r="AI169" s="142"/>
      <c r="AJ169" s="142"/>
      <c r="AK169" s="142"/>
      <c r="AL169" s="142"/>
      <c r="AM169" s="142"/>
      <c r="AN169" s="142"/>
      <c r="AO169" s="142"/>
      <c r="AP169" s="142"/>
      <c r="AQ169" s="142"/>
      <c r="AR169" s="142"/>
      <c r="AS169" s="142"/>
      <c r="AT169" s="142"/>
      <c r="AU169" s="142"/>
      <c r="AV169" s="142"/>
      <c r="AW169" s="142"/>
      <c r="AX169" s="142"/>
      <c r="AY169" s="142"/>
      <c r="AZ169" s="142"/>
      <c r="BA169" s="142"/>
      <c r="BB169" s="142"/>
      <c r="BC169" s="142"/>
      <c r="BD169" s="142"/>
      <c r="BE169" s="142"/>
      <c r="BF169" s="142"/>
      <c r="BG169" s="142"/>
      <c r="BH169" s="142"/>
      <c r="BI169" s="142"/>
      <c r="BJ169" s="142"/>
      <c r="BK169" s="142"/>
      <c r="BL169" s="142"/>
      <c r="BM169" s="142"/>
      <c r="BN169" s="142"/>
      <c r="BO169" s="142"/>
      <c r="BP169" s="142"/>
      <c r="BQ169" s="142"/>
      <c r="BR169" s="142"/>
      <c r="BS169" s="142"/>
      <c r="BT169" s="142"/>
      <c r="BU169" s="142"/>
      <c r="BV169" s="142"/>
      <c r="BW169" s="142"/>
      <c r="BX169" s="142"/>
      <c r="BY169" s="141"/>
      <c r="BZ169" s="141"/>
      <c r="CA169" s="141"/>
      <c r="CB169" s="141"/>
      <c r="CC169" s="141"/>
      <c r="CD169" s="141"/>
      <c r="CE169" s="142"/>
      <c r="CF169" s="142"/>
      <c r="CG169" s="142"/>
      <c r="CH169" s="142"/>
      <c r="CI169" s="142"/>
      <c r="CJ169" s="142"/>
      <c r="CK169" s="142"/>
      <c r="CL169" s="142"/>
      <c r="CM169" s="142"/>
      <c r="CN169" s="142"/>
      <c r="CO169" s="142"/>
      <c r="CP169" s="142"/>
      <c r="CQ169" s="142"/>
    </row>
    <row r="170">
      <c r="A170" s="142"/>
      <c r="B170" s="142"/>
      <c r="C170" s="14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  <c r="AA170" s="142"/>
      <c r="AB170" s="142"/>
      <c r="AC170" s="142"/>
      <c r="AD170" s="142"/>
      <c r="AE170" s="142"/>
      <c r="AF170" s="142"/>
      <c r="AG170" s="142"/>
      <c r="AH170" s="142"/>
      <c r="AI170" s="142"/>
      <c r="AJ170" s="142"/>
      <c r="AK170" s="142"/>
      <c r="AL170" s="142"/>
      <c r="AM170" s="142"/>
      <c r="AN170" s="142"/>
      <c r="AO170" s="142"/>
      <c r="AP170" s="142"/>
      <c r="AQ170" s="142"/>
      <c r="AR170" s="142"/>
      <c r="AS170" s="142"/>
      <c r="AT170" s="142"/>
      <c r="AU170" s="142"/>
      <c r="AV170" s="142"/>
      <c r="AW170" s="142"/>
      <c r="AX170" s="142"/>
      <c r="AY170" s="142"/>
      <c r="AZ170" s="142"/>
      <c r="BA170" s="142"/>
      <c r="BB170" s="142"/>
      <c r="BC170" s="142"/>
      <c r="BD170" s="142"/>
      <c r="BE170" s="142"/>
      <c r="BF170" s="142"/>
      <c r="BG170" s="142"/>
      <c r="BH170" s="142"/>
      <c r="BI170" s="142"/>
      <c r="BJ170" s="142"/>
      <c r="BK170" s="142"/>
      <c r="BL170" s="142"/>
      <c r="BM170" s="142"/>
      <c r="BN170" s="142"/>
      <c r="BO170" s="142"/>
      <c r="BP170" s="142"/>
      <c r="BQ170" s="142"/>
      <c r="BR170" s="142"/>
      <c r="BS170" s="142"/>
      <c r="BT170" s="142"/>
      <c r="BU170" s="142"/>
      <c r="BV170" s="142"/>
      <c r="BW170" s="142"/>
      <c r="BX170" s="142"/>
      <c r="BY170" s="141"/>
      <c r="BZ170" s="141"/>
      <c r="CA170" s="141"/>
      <c r="CB170" s="141"/>
      <c r="CC170" s="141"/>
      <c r="CD170" s="141"/>
      <c r="CE170" s="142"/>
      <c r="CF170" s="142"/>
      <c r="CG170" s="142"/>
      <c r="CH170" s="142"/>
      <c r="CI170" s="142"/>
      <c r="CJ170" s="142"/>
      <c r="CK170" s="142"/>
      <c r="CL170" s="142"/>
      <c r="CM170" s="142"/>
      <c r="CN170" s="142"/>
      <c r="CO170" s="142"/>
      <c r="CP170" s="142"/>
      <c r="CQ170" s="142"/>
    </row>
    <row r="171">
      <c r="A171" s="142"/>
      <c r="B171" s="142"/>
      <c r="C171" s="142"/>
      <c r="D171" s="142"/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  <c r="AA171" s="142"/>
      <c r="AB171" s="142"/>
      <c r="AC171" s="142"/>
      <c r="AD171" s="142"/>
      <c r="AE171" s="142"/>
      <c r="AF171" s="142"/>
      <c r="AG171" s="142"/>
      <c r="AH171" s="142"/>
      <c r="AI171" s="142"/>
      <c r="AJ171" s="142"/>
      <c r="AK171" s="142"/>
      <c r="AL171" s="142"/>
      <c r="AM171" s="142"/>
      <c r="AN171" s="142"/>
      <c r="AO171" s="142"/>
      <c r="AP171" s="142"/>
      <c r="AQ171" s="142"/>
      <c r="AR171" s="142"/>
      <c r="AS171" s="142"/>
      <c r="AT171" s="142"/>
      <c r="AU171" s="142"/>
      <c r="AV171" s="142"/>
      <c r="AW171" s="142"/>
      <c r="AX171" s="142"/>
      <c r="AY171" s="142"/>
      <c r="AZ171" s="142"/>
      <c r="BA171" s="142"/>
      <c r="BB171" s="142"/>
      <c r="BC171" s="142"/>
      <c r="BD171" s="142"/>
      <c r="BE171" s="142"/>
      <c r="BF171" s="142"/>
      <c r="BG171" s="142"/>
      <c r="BH171" s="142"/>
      <c r="BI171" s="142"/>
      <c r="BJ171" s="142"/>
      <c r="BK171" s="142"/>
      <c r="BL171" s="142"/>
      <c r="BM171" s="142"/>
      <c r="BN171" s="142"/>
      <c r="BO171" s="142"/>
      <c r="BP171" s="142"/>
      <c r="BQ171" s="142"/>
      <c r="BR171" s="142"/>
      <c r="BS171" s="142"/>
      <c r="BT171" s="142"/>
      <c r="BU171" s="142"/>
      <c r="BV171" s="142"/>
      <c r="BW171" s="142"/>
      <c r="BX171" s="142"/>
      <c r="BY171" s="141"/>
      <c r="BZ171" s="141"/>
      <c r="CA171" s="141"/>
      <c r="CB171" s="141"/>
      <c r="CC171" s="141"/>
      <c r="CD171" s="141"/>
      <c r="CE171" s="142"/>
      <c r="CF171" s="142"/>
      <c r="CG171" s="142"/>
      <c r="CH171" s="142"/>
      <c r="CI171" s="142"/>
      <c r="CJ171" s="142"/>
      <c r="CK171" s="142"/>
      <c r="CL171" s="142"/>
      <c r="CM171" s="142"/>
      <c r="CN171" s="142"/>
      <c r="CO171" s="142"/>
      <c r="CP171" s="142"/>
      <c r="CQ171" s="142"/>
    </row>
    <row r="172">
      <c r="A172" s="142"/>
      <c r="B172" s="142"/>
      <c r="C172" s="142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  <c r="AA172" s="142"/>
      <c r="AB172" s="142"/>
      <c r="AC172" s="142"/>
      <c r="AD172" s="142"/>
      <c r="AE172" s="142"/>
      <c r="AF172" s="142"/>
      <c r="AG172" s="142"/>
      <c r="AH172" s="142"/>
      <c r="AI172" s="142"/>
      <c r="AJ172" s="142"/>
      <c r="AK172" s="142"/>
      <c r="AL172" s="142"/>
      <c r="AM172" s="142"/>
      <c r="AN172" s="142"/>
      <c r="AO172" s="142"/>
      <c r="AP172" s="142"/>
      <c r="AQ172" s="142"/>
      <c r="AR172" s="142"/>
      <c r="AS172" s="142"/>
      <c r="AT172" s="142"/>
      <c r="AU172" s="142"/>
      <c r="AV172" s="142"/>
      <c r="AW172" s="142"/>
      <c r="AX172" s="142"/>
      <c r="AY172" s="142"/>
      <c r="AZ172" s="142"/>
      <c r="BA172" s="142"/>
      <c r="BB172" s="142"/>
      <c r="BC172" s="142"/>
      <c r="BD172" s="142"/>
      <c r="BE172" s="142"/>
      <c r="BF172" s="142"/>
      <c r="BG172" s="142"/>
      <c r="BH172" s="142"/>
      <c r="BI172" s="142"/>
      <c r="BJ172" s="142"/>
      <c r="BK172" s="142"/>
      <c r="BL172" s="142"/>
      <c r="BM172" s="142"/>
      <c r="BN172" s="142"/>
      <c r="BO172" s="142"/>
      <c r="BP172" s="142"/>
      <c r="BQ172" s="142"/>
      <c r="BR172" s="142"/>
      <c r="BS172" s="142"/>
      <c r="BT172" s="142"/>
      <c r="BU172" s="142"/>
      <c r="BV172" s="142"/>
      <c r="BW172" s="142"/>
      <c r="BX172" s="142"/>
      <c r="BY172" s="141"/>
      <c r="BZ172" s="141"/>
      <c r="CA172" s="141"/>
      <c r="CB172" s="141"/>
      <c r="CC172" s="141"/>
      <c r="CD172" s="141"/>
      <c r="CE172" s="142"/>
      <c r="CF172" s="142"/>
      <c r="CG172" s="142"/>
      <c r="CH172" s="142"/>
      <c r="CI172" s="142"/>
      <c r="CJ172" s="142"/>
      <c r="CK172" s="142"/>
      <c r="CL172" s="142"/>
      <c r="CM172" s="142"/>
      <c r="CN172" s="142"/>
      <c r="CO172" s="142"/>
      <c r="CP172" s="142"/>
      <c r="CQ172" s="142"/>
    </row>
    <row r="173">
      <c r="A173" s="142"/>
      <c r="B173" s="142"/>
      <c r="C173" s="142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  <c r="AA173" s="142"/>
      <c r="AB173" s="142"/>
      <c r="AC173" s="142"/>
      <c r="AD173" s="142"/>
      <c r="AE173" s="142"/>
      <c r="AF173" s="142"/>
      <c r="AG173" s="142"/>
      <c r="AH173" s="142"/>
      <c r="AI173" s="142"/>
      <c r="AJ173" s="142"/>
      <c r="AK173" s="142"/>
      <c r="AL173" s="142"/>
      <c r="AM173" s="142"/>
      <c r="AN173" s="142"/>
      <c r="AO173" s="142"/>
      <c r="AP173" s="142"/>
      <c r="AQ173" s="142"/>
      <c r="AR173" s="142"/>
      <c r="AS173" s="142"/>
      <c r="AT173" s="142"/>
      <c r="AU173" s="142"/>
      <c r="AV173" s="142"/>
      <c r="AW173" s="142"/>
      <c r="AX173" s="142"/>
      <c r="AY173" s="142"/>
      <c r="AZ173" s="142"/>
      <c r="BA173" s="142"/>
      <c r="BB173" s="142"/>
      <c r="BC173" s="142"/>
      <c r="BD173" s="142"/>
      <c r="BE173" s="142"/>
      <c r="BF173" s="142"/>
      <c r="BG173" s="142"/>
      <c r="BH173" s="142"/>
      <c r="BI173" s="142"/>
      <c r="BJ173" s="142"/>
      <c r="BK173" s="142"/>
      <c r="BL173" s="142"/>
      <c r="BM173" s="142"/>
      <c r="BN173" s="142"/>
      <c r="BO173" s="142"/>
      <c r="BP173" s="142"/>
      <c r="BQ173" s="142"/>
      <c r="BR173" s="142"/>
      <c r="BS173" s="142"/>
      <c r="BT173" s="142"/>
      <c r="BU173" s="142"/>
      <c r="BV173" s="142"/>
      <c r="BW173" s="142"/>
      <c r="BX173" s="142"/>
      <c r="BY173" s="141"/>
      <c r="BZ173" s="141"/>
      <c r="CA173" s="141"/>
      <c r="CB173" s="141"/>
      <c r="CC173" s="141"/>
      <c r="CD173" s="141"/>
      <c r="CE173" s="142"/>
      <c r="CF173" s="142"/>
      <c r="CG173" s="142"/>
      <c r="CH173" s="142"/>
      <c r="CI173" s="142"/>
      <c r="CJ173" s="142"/>
      <c r="CK173" s="142"/>
      <c r="CL173" s="142"/>
      <c r="CM173" s="142"/>
      <c r="CN173" s="142"/>
      <c r="CO173" s="142"/>
      <c r="CP173" s="142"/>
      <c r="CQ173" s="142"/>
    </row>
    <row r="174">
      <c r="A174" s="142"/>
      <c r="B174" s="142"/>
      <c r="C174" s="142"/>
      <c r="D174" s="142"/>
      <c r="E174" s="142"/>
      <c r="F174" s="142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  <c r="AA174" s="142"/>
      <c r="AB174" s="142"/>
      <c r="AC174" s="142"/>
      <c r="AD174" s="142"/>
      <c r="AE174" s="142"/>
      <c r="AF174" s="142"/>
      <c r="AG174" s="142"/>
      <c r="AH174" s="142"/>
      <c r="AI174" s="142"/>
      <c r="AJ174" s="142"/>
      <c r="AK174" s="142"/>
      <c r="AL174" s="142"/>
      <c r="AM174" s="142"/>
      <c r="AN174" s="142"/>
      <c r="AO174" s="142"/>
      <c r="AP174" s="142"/>
      <c r="AQ174" s="142"/>
      <c r="AR174" s="142"/>
      <c r="AS174" s="142"/>
      <c r="AT174" s="142"/>
      <c r="AU174" s="142"/>
      <c r="AV174" s="142"/>
      <c r="AW174" s="142"/>
      <c r="AX174" s="142"/>
      <c r="AY174" s="142"/>
      <c r="AZ174" s="142"/>
      <c r="BA174" s="142"/>
      <c r="BB174" s="142"/>
      <c r="BC174" s="142"/>
      <c r="BD174" s="142"/>
      <c r="BE174" s="142"/>
      <c r="BF174" s="142"/>
      <c r="BG174" s="142"/>
      <c r="BH174" s="142"/>
      <c r="BI174" s="142"/>
      <c r="BJ174" s="142"/>
      <c r="BK174" s="142"/>
      <c r="BL174" s="142"/>
      <c r="BM174" s="142"/>
      <c r="BN174" s="142"/>
      <c r="BO174" s="142"/>
      <c r="BP174" s="142"/>
      <c r="BQ174" s="142"/>
      <c r="BR174" s="142"/>
      <c r="BS174" s="142"/>
      <c r="BT174" s="142"/>
      <c r="BU174" s="142"/>
      <c r="BV174" s="142"/>
      <c r="BW174" s="142"/>
      <c r="BX174" s="142"/>
      <c r="BY174" s="141"/>
      <c r="BZ174" s="141"/>
      <c r="CA174" s="141"/>
      <c r="CB174" s="141"/>
      <c r="CC174" s="141"/>
      <c r="CD174" s="141"/>
      <c r="CE174" s="142"/>
      <c r="CF174" s="142"/>
      <c r="CG174" s="142"/>
      <c r="CH174" s="142"/>
      <c r="CI174" s="142"/>
      <c r="CJ174" s="142"/>
      <c r="CK174" s="142"/>
      <c r="CL174" s="142"/>
      <c r="CM174" s="142"/>
      <c r="CN174" s="142"/>
      <c r="CO174" s="142"/>
      <c r="CP174" s="142"/>
      <c r="CQ174" s="142"/>
    </row>
    <row r="175">
      <c r="A175" s="142"/>
      <c r="B175" s="142"/>
      <c r="C175" s="142"/>
      <c r="D175" s="142"/>
      <c r="E175" s="142"/>
      <c r="F175" s="142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  <c r="AA175" s="142"/>
      <c r="AB175" s="142"/>
      <c r="AC175" s="142"/>
      <c r="AD175" s="142"/>
      <c r="AE175" s="142"/>
      <c r="AF175" s="142"/>
      <c r="AG175" s="142"/>
      <c r="AH175" s="142"/>
      <c r="AI175" s="142"/>
      <c r="AJ175" s="142"/>
      <c r="AK175" s="142"/>
      <c r="AL175" s="142"/>
      <c r="AM175" s="142"/>
      <c r="AN175" s="142"/>
      <c r="AO175" s="142"/>
      <c r="AP175" s="142"/>
      <c r="AQ175" s="142"/>
      <c r="AR175" s="142"/>
      <c r="AS175" s="142"/>
      <c r="AT175" s="142"/>
      <c r="AU175" s="142"/>
      <c r="AV175" s="142"/>
      <c r="AW175" s="142"/>
      <c r="AX175" s="142"/>
      <c r="AY175" s="142"/>
      <c r="AZ175" s="142"/>
      <c r="BA175" s="142"/>
      <c r="BB175" s="142"/>
      <c r="BC175" s="142"/>
      <c r="BD175" s="142"/>
      <c r="BE175" s="142"/>
      <c r="BF175" s="142"/>
      <c r="BG175" s="142"/>
      <c r="BH175" s="142"/>
      <c r="BI175" s="142"/>
      <c r="BJ175" s="142"/>
      <c r="BK175" s="142"/>
      <c r="BL175" s="142"/>
      <c r="BM175" s="142"/>
      <c r="BN175" s="142"/>
      <c r="BO175" s="142"/>
      <c r="BP175" s="142"/>
      <c r="BQ175" s="142"/>
      <c r="BR175" s="142"/>
      <c r="BS175" s="142"/>
      <c r="BT175" s="142"/>
      <c r="BU175" s="142"/>
      <c r="BV175" s="142"/>
      <c r="BW175" s="142"/>
      <c r="BX175" s="142"/>
      <c r="BY175" s="141"/>
      <c r="BZ175" s="141"/>
      <c r="CA175" s="141"/>
      <c r="CB175" s="141"/>
      <c r="CC175" s="141"/>
      <c r="CD175" s="141"/>
      <c r="CE175" s="142"/>
      <c r="CF175" s="142"/>
      <c r="CG175" s="142"/>
      <c r="CH175" s="142"/>
      <c r="CI175" s="142"/>
      <c r="CJ175" s="142"/>
      <c r="CK175" s="142"/>
      <c r="CL175" s="142"/>
      <c r="CM175" s="142"/>
      <c r="CN175" s="142"/>
      <c r="CO175" s="142"/>
      <c r="CP175" s="142"/>
      <c r="CQ175" s="142"/>
    </row>
    <row r="176">
      <c r="A176" s="142"/>
      <c r="B176" s="142"/>
      <c r="C176" s="142"/>
      <c r="D176" s="142"/>
      <c r="E176" s="142"/>
      <c r="F176" s="14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  <c r="AA176" s="142"/>
      <c r="AB176" s="142"/>
      <c r="AC176" s="142"/>
      <c r="AD176" s="142"/>
      <c r="AE176" s="142"/>
      <c r="AF176" s="142"/>
      <c r="AG176" s="142"/>
      <c r="AH176" s="142"/>
      <c r="AI176" s="142"/>
      <c r="AJ176" s="142"/>
      <c r="AK176" s="142"/>
      <c r="AL176" s="142"/>
      <c r="AM176" s="142"/>
      <c r="AN176" s="142"/>
      <c r="AO176" s="142"/>
      <c r="AP176" s="142"/>
      <c r="AQ176" s="142"/>
      <c r="AR176" s="142"/>
      <c r="AS176" s="142"/>
      <c r="AT176" s="142"/>
      <c r="AU176" s="142"/>
      <c r="AV176" s="142"/>
      <c r="AW176" s="142"/>
      <c r="AX176" s="142"/>
      <c r="AY176" s="142"/>
      <c r="AZ176" s="142"/>
      <c r="BA176" s="142"/>
      <c r="BB176" s="142"/>
      <c r="BC176" s="142"/>
      <c r="BD176" s="142"/>
      <c r="BE176" s="142"/>
      <c r="BF176" s="142"/>
      <c r="BG176" s="142"/>
      <c r="BH176" s="142"/>
      <c r="BI176" s="142"/>
      <c r="BJ176" s="142"/>
      <c r="BK176" s="142"/>
      <c r="BL176" s="142"/>
      <c r="BM176" s="142"/>
      <c r="BN176" s="142"/>
      <c r="BO176" s="142"/>
      <c r="BP176" s="142"/>
      <c r="BQ176" s="142"/>
      <c r="BR176" s="142"/>
      <c r="BS176" s="142"/>
      <c r="BT176" s="142"/>
      <c r="BU176" s="142"/>
      <c r="BV176" s="142"/>
      <c r="BW176" s="142"/>
      <c r="BX176" s="142"/>
      <c r="BY176" s="141"/>
      <c r="BZ176" s="141"/>
      <c r="CA176" s="141"/>
      <c r="CB176" s="141"/>
      <c r="CC176" s="141"/>
      <c r="CD176" s="141"/>
      <c r="CE176" s="142"/>
      <c r="CF176" s="142"/>
      <c r="CG176" s="142"/>
      <c r="CH176" s="142"/>
      <c r="CI176" s="142"/>
      <c r="CJ176" s="142"/>
      <c r="CK176" s="142"/>
      <c r="CL176" s="142"/>
      <c r="CM176" s="142"/>
      <c r="CN176" s="142"/>
      <c r="CO176" s="142"/>
      <c r="CP176" s="142"/>
      <c r="CQ176" s="142"/>
    </row>
    <row r="177">
      <c r="A177" s="142"/>
      <c r="B177" s="142"/>
      <c r="C177" s="142"/>
      <c r="D177" s="142"/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  <c r="AA177" s="142"/>
      <c r="AB177" s="142"/>
      <c r="AC177" s="142"/>
      <c r="AD177" s="142"/>
      <c r="AE177" s="142"/>
      <c r="AF177" s="142"/>
      <c r="AG177" s="142"/>
      <c r="AH177" s="142"/>
      <c r="AI177" s="142"/>
      <c r="AJ177" s="142"/>
      <c r="AK177" s="142"/>
      <c r="AL177" s="142"/>
      <c r="AM177" s="142"/>
      <c r="AN177" s="142"/>
      <c r="AO177" s="142"/>
      <c r="AP177" s="142"/>
      <c r="AQ177" s="142"/>
      <c r="AR177" s="142"/>
      <c r="AS177" s="142"/>
      <c r="AT177" s="142"/>
      <c r="AU177" s="142"/>
      <c r="AV177" s="142"/>
      <c r="AW177" s="142"/>
      <c r="AX177" s="142"/>
      <c r="AY177" s="142"/>
      <c r="AZ177" s="142"/>
      <c r="BA177" s="142"/>
      <c r="BB177" s="142"/>
      <c r="BC177" s="142"/>
      <c r="BD177" s="142"/>
      <c r="BE177" s="142"/>
      <c r="BF177" s="142"/>
      <c r="BG177" s="142"/>
      <c r="BH177" s="142"/>
      <c r="BI177" s="142"/>
      <c r="BJ177" s="142"/>
      <c r="BK177" s="142"/>
      <c r="BL177" s="142"/>
      <c r="BM177" s="142"/>
      <c r="BN177" s="142"/>
      <c r="BO177" s="142"/>
      <c r="BP177" s="142"/>
      <c r="BQ177" s="142"/>
      <c r="BR177" s="142"/>
      <c r="BS177" s="142"/>
      <c r="BT177" s="142"/>
      <c r="BU177" s="142"/>
      <c r="BV177" s="142"/>
      <c r="BW177" s="142"/>
      <c r="BX177" s="142"/>
      <c r="BY177" s="141"/>
      <c r="BZ177" s="141"/>
      <c r="CA177" s="141"/>
      <c r="CB177" s="141"/>
      <c r="CC177" s="141"/>
      <c r="CD177" s="141"/>
      <c r="CE177" s="142"/>
      <c r="CF177" s="142"/>
      <c r="CG177" s="142"/>
      <c r="CH177" s="142"/>
      <c r="CI177" s="142"/>
      <c r="CJ177" s="142"/>
      <c r="CK177" s="142"/>
      <c r="CL177" s="142"/>
      <c r="CM177" s="142"/>
      <c r="CN177" s="142"/>
      <c r="CO177" s="142"/>
      <c r="CP177" s="142"/>
      <c r="CQ177" s="142"/>
    </row>
    <row r="178">
      <c r="A178" s="142"/>
      <c r="B178" s="142"/>
      <c r="C178" s="142"/>
      <c r="D178" s="142"/>
      <c r="E178" s="142"/>
      <c r="F178" s="142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  <c r="AA178" s="142"/>
      <c r="AB178" s="142"/>
      <c r="AC178" s="142"/>
      <c r="AD178" s="142"/>
      <c r="AE178" s="142"/>
      <c r="AF178" s="142"/>
      <c r="AG178" s="142"/>
      <c r="AH178" s="142"/>
      <c r="AI178" s="142"/>
      <c r="AJ178" s="142"/>
      <c r="AK178" s="142"/>
      <c r="AL178" s="142"/>
      <c r="AM178" s="142"/>
      <c r="AN178" s="142"/>
      <c r="AO178" s="142"/>
      <c r="AP178" s="142"/>
      <c r="AQ178" s="142"/>
      <c r="AR178" s="142"/>
      <c r="AS178" s="142"/>
      <c r="AT178" s="142"/>
      <c r="AU178" s="142"/>
      <c r="AV178" s="142"/>
      <c r="AW178" s="142"/>
      <c r="AX178" s="142"/>
      <c r="AY178" s="142"/>
      <c r="AZ178" s="142"/>
      <c r="BA178" s="142"/>
      <c r="BB178" s="142"/>
      <c r="BC178" s="142"/>
      <c r="BD178" s="142"/>
      <c r="BE178" s="142"/>
      <c r="BF178" s="142"/>
      <c r="BG178" s="142"/>
      <c r="BH178" s="142"/>
      <c r="BI178" s="142"/>
      <c r="BJ178" s="142"/>
      <c r="BK178" s="142"/>
      <c r="BL178" s="142"/>
      <c r="BM178" s="142"/>
      <c r="BN178" s="142"/>
      <c r="BO178" s="142"/>
      <c r="BP178" s="142"/>
      <c r="BQ178" s="142"/>
      <c r="BR178" s="142"/>
      <c r="BS178" s="142"/>
      <c r="BT178" s="142"/>
      <c r="BU178" s="142"/>
      <c r="BV178" s="142"/>
      <c r="BW178" s="142"/>
      <c r="BX178" s="142"/>
      <c r="BY178" s="141"/>
      <c r="BZ178" s="141"/>
      <c r="CA178" s="141"/>
      <c r="CB178" s="141"/>
      <c r="CC178" s="141"/>
      <c r="CD178" s="141"/>
      <c r="CE178" s="142"/>
      <c r="CF178" s="142"/>
      <c r="CG178" s="142"/>
      <c r="CH178" s="142"/>
      <c r="CI178" s="142"/>
      <c r="CJ178" s="142"/>
      <c r="CK178" s="142"/>
      <c r="CL178" s="142"/>
      <c r="CM178" s="142"/>
      <c r="CN178" s="142"/>
      <c r="CO178" s="142"/>
      <c r="CP178" s="142"/>
      <c r="CQ178" s="142"/>
    </row>
    <row r="179">
      <c r="A179" s="142"/>
      <c r="B179" s="142"/>
      <c r="C179" s="142"/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  <c r="AA179" s="142"/>
      <c r="AB179" s="142"/>
      <c r="AC179" s="142"/>
      <c r="AD179" s="142"/>
      <c r="AE179" s="142"/>
      <c r="AF179" s="142"/>
      <c r="AG179" s="142"/>
      <c r="AH179" s="142"/>
      <c r="AI179" s="142"/>
      <c r="AJ179" s="142"/>
      <c r="AK179" s="142"/>
      <c r="AL179" s="142"/>
      <c r="AM179" s="142"/>
      <c r="AN179" s="142"/>
      <c r="AO179" s="142"/>
      <c r="AP179" s="142"/>
      <c r="AQ179" s="142"/>
      <c r="AR179" s="142"/>
      <c r="AS179" s="142"/>
      <c r="AT179" s="142"/>
      <c r="AU179" s="142"/>
      <c r="AV179" s="142"/>
      <c r="AW179" s="142"/>
      <c r="AX179" s="142"/>
      <c r="AY179" s="142"/>
      <c r="AZ179" s="142"/>
      <c r="BA179" s="142"/>
      <c r="BB179" s="142"/>
      <c r="BC179" s="142"/>
      <c r="BD179" s="142"/>
      <c r="BE179" s="142"/>
      <c r="BF179" s="142"/>
      <c r="BG179" s="142"/>
      <c r="BH179" s="142"/>
      <c r="BI179" s="142"/>
      <c r="BJ179" s="142"/>
      <c r="BK179" s="142"/>
      <c r="BL179" s="142"/>
      <c r="BM179" s="142"/>
      <c r="BN179" s="142"/>
      <c r="BO179" s="142"/>
      <c r="BP179" s="142"/>
      <c r="BQ179" s="142"/>
      <c r="BR179" s="142"/>
      <c r="BS179" s="142"/>
      <c r="BT179" s="142"/>
      <c r="BU179" s="142"/>
      <c r="BV179" s="142"/>
      <c r="BW179" s="142"/>
      <c r="BX179" s="142"/>
      <c r="BY179" s="141"/>
      <c r="BZ179" s="141"/>
      <c r="CA179" s="141"/>
      <c r="CB179" s="141"/>
      <c r="CC179" s="141"/>
      <c r="CD179" s="141"/>
      <c r="CE179" s="142"/>
      <c r="CF179" s="142"/>
      <c r="CG179" s="142"/>
      <c r="CH179" s="142"/>
      <c r="CI179" s="142"/>
      <c r="CJ179" s="142"/>
      <c r="CK179" s="142"/>
      <c r="CL179" s="142"/>
      <c r="CM179" s="142"/>
      <c r="CN179" s="142"/>
      <c r="CO179" s="142"/>
      <c r="CP179" s="142"/>
      <c r="CQ179" s="142"/>
    </row>
    <row r="180">
      <c r="A180" s="142"/>
      <c r="B180" s="142"/>
      <c r="C180" s="142"/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  <c r="AA180" s="142"/>
      <c r="AB180" s="142"/>
      <c r="AC180" s="142"/>
      <c r="AD180" s="142"/>
      <c r="AE180" s="142"/>
      <c r="AF180" s="142"/>
      <c r="AG180" s="142"/>
      <c r="AH180" s="142"/>
      <c r="AI180" s="142"/>
      <c r="AJ180" s="142"/>
      <c r="AK180" s="142"/>
      <c r="AL180" s="142"/>
      <c r="AM180" s="142"/>
      <c r="AN180" s="142"/>
      <c r="AO180" s="142"/>
      <c r="AP180" s="142"/>
      <c r="AQ180" s="142"/>
      <c r="AR180" s="142"/>
      <c r="AS180" s="142"/>
      <c r="AT180" s="142"/>
      <c r="AU180" s="142"/>
      <c r="AV180" s="142"/>
      <c r="AW180" s="142"/>
      <c r="AX180" s="142"/>
      <c r="AY180" s="142"/>
      <c r="AZ180" s="142"/>
      <c r="BA180" s="142"/>
      <c r="BB180" s="142"/>
      <c r="BC180" s="142"/>
      <c r="BD180" s="142"/>
      <c r="BE180" s="142"/>
      <c r="BF180" s="142"/>
      <c r="BG180" s="142"/>
      <c r="BH180" s="142"/>
      <c r="BI180" s="142"/>
      <c r="BJ180" s="142"/>
      <c r="BK180" s="142"/>
      <c r="BL180" s="142"/>
      <c r="BM180" s="142"/>
      <c r="BN180" s="142"/>
      <c r="BO180" s="142"/>
      <c r="BP180" s="142"/>
      <c r="BQ180" s="142"/>
      <c r="BR180" s="142"/>
      <c r="BS180" s="142"/>
      <c r="BT180" s="142"/>
      <c r="BU180" s="142"/>
      <c r="BV180" s="142"/>
      <c r="BW180" s="142"/>
      <c r="BX180" s="142"/>
      <c r="BY180" s="141"/>
      <c r="BZ180" s="141"/>
      <c r="CA180" s="141"/>
      <c r="CB180" s="141"/>
      <c r="CC180" s="141"/>
      <c r="CD180" s="141"/>
      <c r="CE180" s="142"/>
      <c r="CF180" s="142"/>
      <c r="CG180" s="142"/>
      <c r="CH180" s="142"/>
      <c r="CI180" s="142"/>
      <c r="CJ180" s="142"/>
      <c r="CK180" s="142"/>
      <c r="CL180" s="142"/>
      <c r="CM180" s="142"/>
      <c r="CN180" s="142"/>
      <c r="CO180" s="142"/>
      <c r="CP180" s="142"/>
      <c r="CQ180" s="142"/>
    </row>
    <row r="181">
      <c r="A181" s="142"/>
      <c r="B181" s="142"/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  <c r="AA181" s="142"/>
      <c r="AB181" s="142"/>
      <c r="AC181" s="142"/>
      <c r="AD181" s="142"/>
      <c r="AE181" s="142"/>
      <c r="AF181" s="142"/>
      <c r="AG181" s="142"/>
      <c r="AH181" s="142"/>
      <c r="AI181" s="142"/>
      <c r="AJ181" s="142"/>
      <c r="AK181" s="142"/>
      <c r="AL181" s="142"/>
      <c r="AM181" s="142"/>
      <c r="AN181" s="142"/>
      <c r="AO181" s="142"/>
      <c r="AP181" s="142"/>
      <c r="AQ181" s="142"/>
      <c r="AR181" s="142"/>
      <c r="AS181" s="142"/>
      <c r="AT181" s="142"/>
      <c r="AU181" s="142"/>
      <c r="AV181" s="142"/>
      <c r="AW181" s="142"/>
      <c r="AX181" s="142"/>
      <c r="AY181" s="142"/>
      <c r="AZ181" s="142"/>
      <c r="BA181" s="142"/>
      <c r="BB181" s="142"/>
      <c r="BC181" s="142"/>
      <c r="BD181" s="142"/>
      <c r="BE181" s="142"/>
      <c r="BF181" s="142"/>
      <c r="BG181" s="142"/>
      <c r="BH181" s="142"/>
      <c r="BI181" s="142"/>
      <c r="BJ181" s="142"/>
      <c r="BK181" s="142"/>
      <c r="BL181" s="142"/>
      <c r="BM181" s="142"/>
      <c r="BN181" s="142"/>
      <c r="BO181" s="142"/>
      <c r="BP181" s="142"/>
      <c r="BQ181" s="142"/>
      <c r="BR181" s="142"/>
      <c r="BS181" s="142"/>
      <c r="BT181" s="142"/>
      <c r="BU181" s="142"/>
      <c r="BV181" s="142"/>
      <c r="BW181" s="142"/>
      <c r="BX181" s="142"/>
      <c r="BY181" s="141"/>
      <c r="BZ181" s="141"/>
      <c r="CA181" s="141"/>
      <c r="CB181" s="141"/>
      <c r="CC181" s="141"/>
      <c r="CD181" s="141"/>
      <c r="CE181" s="142"/>
      <c r="CF181" s="142"/>
      <c r="CG181" s="142"/>
      <c r="CH181" s="142"/>
      <c r="CI181" s="142"/>
      <c r="CJ181" s="142"/>
      <c r="CK181" s="142"/>
      <c r="CL181" s="142"/>
      <c r="CM181" s="142"/>
      <c r="CN181" s="142"/>
      <c r="CO181" s="142"/>
      <c r="CP181" s="142"/>
      <c r="CQ181" s="142"/>
    </row>
    <row r="182">
      <c r="A182" s="142"/>
      <c r="B182" s="142"/>
      <c r="C182" s="142"/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  <c r="AA182" s="142"/>
      <c r="AB182" s="142"/>
      <c r="AC182" s="142"/>
      <c r="AD182" s="142"/>
      <c r="AE182" s="142"/>
      <c r="AF182" s="142"/>
      <c r="AG182" s="142"/>
      <c r="AH182" s="142"/>
      <c r="AI182" s="142"/>
      <c r="AJ182" s="142"/>
      <c r="AK182" s="142"/>
      <c r="AL182" s="142"/>
      <c r="AM182" s="142"/>
      <c r="AN182" s="142"/>
      <c r="AO182" s="142"/>
      <c r="AP182" s="142"/>
      <c r="AQ182" s="142"/>
      <c r="AR182" s="142"/>
      <c r="AS182" s="142"/>
      <c r="AT182" s="142"/>
      <c r="AU182" s="142"/>
      <c r="AV182" s="142"/>
      <c r="AW182" s="142"/>
      <c r="AX182" s="142"/>
      <c r="AY182" s="142"/>
      <c r="AZ182" s="142"/>
      <c r="BA182" s="142"/>
      <c r="BB182" s="142"/>
      <c r="BC182" s="142"/>
      <c r="BD182" s="142"/>
      <c r="BE182" s="142"/>
      <c r="BF182" s="142"/>
      <c r="BG182" s="142"/>
      <c r="BH182" s="142"/>
      <c r="BI182" s="142"/>
      <c r="BJ182" s="142"/>
      <c r="BK182" s="142"/>
      <c r="BL182" s="142"/>
      <c r="BM182" s="142"/>
      <c r="BN182" s="142"/>
      <c r="BO182" s="142"/>
      <c r="BP182" s="142"/>
      <c r="BQ182" s="142"/>
      <c r="BR182" s="142"/>
      <c r="BS182" s="142"/>
      <c r="BT182" s="142"/>
      <c r="BU182" s="142"/>
      <c r="BV182" s="142"/>
      <c r="BW182" s="142"/>
      <c r="BX182" s="142"/>
      <c r="BY182" s="141"/>
      <c r="BZ182" s="141"/>
      <c r="CA182" s="141"/>
      <c r="CB182" s="141"/>
      <c r="CC182" s="141"/>
      <c r="CD182" s="141"/>
      <c r="CE182" s="142"/>
      <c r="CF182" s="142"/>
      <c r="CG182" s="142"/>
      <c r="CH182" s="142"/>
      <c r="CI182" s="142"/>
      <c r="CJ182" s="142"/>
      <c r="CK182" s="142"/>
      <c r="CL182" s="142"/>
      <c r="CM182" s="142"/>
      <c r="CN182" s="142"/>
      <c r="CO182" s="142"/>
      <c r="CP182" s="142"/>
      <c r="CQ182" s="142"/>
    </row>
    <row r="183">
      <c r="A183" s="142"/>
      <c r="B183" s="142"/>
      <c r="C183" s="142"/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  <c r="AA183" s="142"/>
      <c r="AB183" s="142"/>
      <c r="AC183" s="142"/>
      <c r="AD183" s="142"/>
      <c r="AE183" s="142"/>
      <c r="AF183" s="142"/>
      <c r="AG183" s="142"/>
      <c r="AH183" s="142"/>
      <c r="AI183" s="142"/>
      <c r="AJ183" s="142"/>
      <c r="AK183" s="142"/>
      <c r="AL183" s="142"/>
      <c r="AM183" s="142"/>
      <c r="AN183" s="142"/>
      <c r="AO183" s="142"/>
      <c r="AP183" s="142"/>
      <c r="AQ183" s="142"/>
      <c r="AR183" s="142"/>
      <c r="AS183" s="142"/>
      <c r="AT183" s="142"/>
      <c r="AU183" s="142"/>
      <c r="AV183" s="142"/>
      <c r="AW183" s="142"/>
      <c r="AX183" s="142"/>
      <c r="AY183" s="142"/>
      <c r="AZ183" s="142"/>
      <c r="BA183" s="142"/>
      <c r="BB183" s="142"/>
      <c r="BC183" s="142"/>
      <c r="BD183" s="142"/>
      <c r="BE183" s="142"/>
      <c r="BF183" s="142"/>
      <c r="BG183" s="142"/>
      <c r="BH183" s="142"/>
      <c r="BI183" s="142"/>
      <c r="BJ183" s="142"/>
      <c r="BK183" s="142"/>
      <c r="BL183" s="142"/>
      <c r="BM183" s="142"/>
      <c r="BN183" s="142"/>
      <c r="BO183" s="142"/>
      <c r="BP183" s="142"/>
      <c r="BQ183" s="142"/>
      <c r="BR183" s="142"/>
      <c r="BS183" s="142"/>
      <c r="BT183" s="142"/>
      <c r="BU183" s="142"/>
      <c r="BV183" s="142"/>
      <c r="BW183" s="142"/>
      <c r="BX183" s="142"/>
      <c r="BY183" s="141"/>
      <c r="BZ183" s="141"/>
      <c r="CA183" s="141"/>
      <c r="CB183" s="141"/>
      <c r="CC183" s="141"/>
      <c r="CD183" s="141"/>
      <c r="CE183" s="142"/>
      <c r="CF183" s="142"/>
      <c r="CG183" s="142"/>
      <c r="CH183" s="142"/>
      <c r="CI183" s="142"/>
      <c r="CJ183" s="142"/>
      <c r="CK183" s="142"/>
      <c r="CL183" s="142"/>
      <c r="CM183" s="142"/>
      <c r="CN183" s="142"/>
      <c r="CO183" s="142"/>
      <c r="CP183" s="142"/>
      <c r="CQ183" s="142"/>
    </row>
    <row r="184">
      <c r="A184" s="142"/>
      <c r="B184" s="142"/>
      <c r="C184" s="14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  <c r="AA184" s="142"/>
      <c r="AB184" s="142"/>
      <c r="AC184" s="142"/>
      <c r="AD184" s="142"/>
      <c r="AE184" s="142"/>
      <c r="AF184" s="142"/>
      <c r="AG184" s="142"/>
      <c r="AH184" s="142"/>
      <c r="AI184" s="142"/>
      <c r="AJ184" s="142"/>
      <c r="AK184" s="142"/>
      <c r="AL184" s="142"/>
      <c r="AM184" s="142"/>
      <c r="AN184" s="142"/>
      <c r="AO184" s="142"/>
      <c r="AP184" s="142"/>
      <c r="AQ184" s="142"/>
      <c r="AR184" s="142"/>
      <c r="AS184" s="142"/>
      <c r="AT184" s="142"/>
      <c r="AU184" s="142"/>
      <c r="AV184" s="142"/>
      <c r="AW184" s="142"/>
      <c r="AX184" s="142"/>
      <c r="AY184" s="142"/>
      <c r="AZ184" s="142"/>
      <c r="BA184" s="142"/>
      <c r="BB184" s="142"/>
      <c r="BC184" s="142"/>
      <c r="BD184" s="142"/>
      <c r="BE184" s="142"/>
      <c r="BF184" s="142"/>
      <c r="BG184" s="142"/>
      <c r="BH184" s="142"/>
      <c r="BI184" s="142"/>
      <c r="BJ184" s="142"/>
      <c r="BK184" s="142"/>
      <c r="BL184" s="142"/>
      <c r="BM184" s="142"/>
      <c r="BN184" s="142"/>
      <c r="BO184" s="142"/>
      <c r="BP184" s="142"/>
      <c r="BQ184" s="142"/>
      <c r="BR184" s="142"/>
      <c r="BS184" s="142"/>
      <c r="BT184" s="142"/>
      <c r="BU184" s="142"/>
      <c r="BV184" s="142"/>
      <c r="BW184" s="142"/>
      <c r="BX184" s="142"/>
      <c r="BY184" s="141"/>
      <c r="BZ184" s="141"/>
      <c r="CA184" s="141"/>
      <c r="CB184" s="141"/>
      <c r="CC184" s="141"/>
      <c r="CD184" s="141"/>
      <c r="CE184" s="142"/>
      <c r="CF184" s="142"/>
      <c r="CG184" s="142"/>
      <c r="CH184" s="142"/>
      <c r="CI184" s="142"/>
      <c r="CJ184" s="142"/>
      <c r="CK184" s="142"/>
      <c r="CL184" s="142"/>
      <c r="CM184" s="142"/>
      <c r="CN184" s="142"/>
      <c r="CO184" s="142"/>
      <c r="CP184" s="142"/>
      <c r="CQ184" s="142"/>
    </row>
    <row r="185">
      <c r="A185" s="142"/>
      <c r="B185" s="142"/>
      <c r="C185" s="142"/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  <c r="AA185" s="142"/>
      <c r="AB185" s="142"/>
      <c r="AC185" s="142"/>
      <c r="AD185" s="142"/>
      <c r="AE185" s="142"/>
      <c r="AF185" s="142"/>
      <c r="AG185" s="142"/>
      <c r="AH185" s="142"/>
      <c r="AI185" s="142"/>
      <c r="AJ185" s="142"/>
      <c r="AK185" s="142"/>
      <c r="AL185" s="142"/>
      <c r="AM185" s="142"/>
      <c r="AN185" s="142"/>
      <c r="AO185" s="142"/>
      <c r="AP185" s="142"/>
      <c r="AQ185" s="142"/>
      <c r="AR185" s="142"/>
      <c r="AS185" s="142"/>
      <c r="AT185" s="142"/>
      <c r="AU185" s="142"/>
      <c r="AV185" s="142"/>
      <c r="AW185" s="142"/>
      <c r="AX185" s="142"/>
      <c r="AY185" s="142"/>
      <c r="AZ185" s="142"/>
      <c r="BA185" s="142"/>
      <c r="BB185" s="142"/>
      <c r="BC185" s="142"/>
      <c r="BD185" s="142"/>
      <c r="BE185" s="142"/>
      <c r="BF185" s="142"/>
      <c r="BG185" s="142"/>
      <c r="BH185" s="142"/>
      <c r="BI185" s="142"/>
      <c r="BJ185" s="142"/>
      <c r="BK185" s="142"/>
      <c r="BL185" s="142"/>
      <c r="BM185" s="142"/>
      <c r="BN185" s="142"/>
      <c r="BO185" s="142"/>
      <c r="BP185" s="142"/>
      <c r="BQ185" s="142"/>
      <c r="BR185" s="142"/>
      <c r="BS185" s="142"/>
      <c r="BT185" s="142"/>
      <c r="BU185" s="142"/>
      <c r="BV185" s="142"/>
      <c r="BW185" s="142"/>
      <c r="BX185" s="142"/>
      <c r="BY185" s="141"/>
      <c r="BZ185" s="141"/>
      <c r="CA185" s="141"/>
      <c r="CB185" s="141"/>
      <c r="CC185" s="141"/>
      <c r="CD185" s="141"/>
      <c r="CE185" s="142"/>
      <c r="CF185" s="142"/>
      <c r="CG185" s="142"/>
      <c r="CH185" s="142"/>
      <c r="CI185" s="142"/>
      <c r="CJ185" s="142"/>
      <c r="CK185" s="142"/>
      <c r="CL185" s="142"/>
      <c r="CM185" s="142"/>
      <c r="CN185" s="142"/>
      <c r="CO185" s="142"/>
      <c r="CP185" s="142"/>
      <c r="CQ185" s="142"/>
    </row>
    <row r="186">
      <c r="A186" s="142"/>
      <c r="B186" s="142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  <c r="AA186" s="142"/>
      <c r="AB186" s="142"/>
      <c r="AC186" s="142"/>
      <c r="AD186" s="142"/>
      <c r="AE186" s="142"/>
      <c r="AF186" s="142"/>
      <c r="AG186" s="142"/>
      <c r="AH186" s="142"/>
      <c r="AI186" s="142"/>
      <c r="AJ186" s="142"/>
      <c r="AK186" s="142"/>
      <c r="AL186" s="142"/>
      <c r="AM186" s="142"/>
      <c r="AN186" s="142"/>
      <c r="AO186" s="142"/>
      <c r="AP186" s="142"/>
      <c r="AQ186" s="142"/>
      <c r="AR186" s="142"/>
      <c r="AS186" s="142"/>
      <c r="AT186" s="142"/>
      <c r="AU186" s="142"/>
      <c r="AV186" s="142"/>
      <c r="AW186" s="142"/>
      <c r="AX186" s="142"/>
      <c r="AY186" s="142"/>
      <c r="AZ186" s="142"/>
      <c r="BA186" s="142"/>
      <c r="BB186" s="142"/>
      <c r="BC186" s="142"/>
      <c r="BD186" s="142"/>
      <c r="BE186" s="142"/>
      <c r="BF186" s="142"/>
      <c r="BG186" s="142"/>
      <c r="BH186" s="142"/>
      <c r="BI186" s="142"/>
      <c r="BJ186" s="142"/>
      <c r="BK186" s="142"/>
      <c r="BL186" s="142"/>
      <c r="BM186" s="142"/>
      <c r="BN186" s="142"/>
      <c r="BO186" s="142"/>
      <c r="BP186" s="142"/>
      <c r="BQ186" s="142"/>
      <c r="BR186" s="142"/>
      <c r="BS186" s="142"/>
      <c r="BT186" s="142"/>
      <c r="BU186" s="142"/>
      <c r="BV186" s="142"/>
      <c r="BW186" s="142"/>
      <c r="BX186" s="142"/>
      <c r="BY186" s="141"/>
      <c r="BZ186" s="141"/>
      <c r="CA186" s="141"/>
      <c r="CB186" s="141"/>
      <c r="CC186" s="141"/>
      <c r="CD186" s="141"/>
      <c r="CE186" s="142"/>
      <c r="CF186" s="142"/>
      <c r="CG186" s="142"/>
      <c r="CH186" s="142"/>
      <c r="CI186" s="142"/>
      <c r="CJ186" s="142"/>
      <c r="CK186" s="142"/>
      <c r="CL186" s="142"/>
      <c r="CM186" s="142"/>
      <c r="CN186" s="142"/>
      <c r="CO186" s="142"/>
      <c r="CP186" s="142"/>
      <c r="CQ186" s="142"/>
    </row>
    <row r="187">
      <c r="A187" s="142"/>
      <c r="B187" s="142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  <c r="AA187" s="142"/>
      <c r="AB187" s="142"/>
      <c r="AC187" s="142"/>
      <c r="AD187" s="142"/>
      <c r="AE187" s="142"/>
      <c r="AF187" s="142"/>
      <c r="AG187" s="142"/>
      <c r="AH187" s="142"/>
      <c r="AI187" s="142"/>
      <c r="AJ187" s="142"/>
      <c r="AK187" s="142"/>
      <c r="AL187" s="142"/>
      <c r="AM187" s="142"/>
      <c r="AN187" s="142"/>
      <c r="AO187" s="142"/>
      <c r="AP187" s="142"/>
      <c r="AQ187" s="142"/>
      <c r="AR187" s="142"/>
      <c r="AS187" s="142"/>
      <c r="AT187" s="142"/>
      <c r="AU187" s="142"/>
      <c r="AV187" s="142"/>
      <c r="AW187" s="142"/>
      <c r="AX187" s="142"/>
      <c r="AY187" s="142"/>
      <c r="AZ187" s="142"/>
      <c r="BA187" s="142"/>
      <c r="BB187" s="142"/>
      <c r="BC187" s="142"/>
      <c r="BD187" s="142"/>
      <c r="BE187" s="142"/>
      <c r="BF187" s="142"/>
      <c r="BG187" s="142"/>
      <c r="BH187" s="142"/>
      <c r="BI187" s="142"/>
      <c r="BJ187" s="142"/>
      <c r="BK187" s="142"/>
      <c r="BL187" s="142"/>
      <c r="BM187" s="142"/>
      <c r="BN187" s="142"/>
      <c r="BO187" s="142"/>
      <c r="BP187" s="142"/>
      <c r="BQ187" s="142"/>
      <c r="BR187" s="142"/>
      <c r="BS187" s="142"/>
      <c r="BT187" s="142"/>
      <c r="BU187" s="142"/>
      <c r="BV187" s="142"/>
      <c r="BW187" s="142"/>
      <c r="BX187" s="142"/>
      <c r="BY187" s="141"/>
      <c r="BZ187" s="141"/>
      <c r="CA187" s="141"/>
      <c r="CB187" s="141"/>
      <c r="CC187" s="141"/>
      <c r="CD187" s="141"/>
      <c r="CE187" s="142"/>
      <c r="CF187" s="142"/>
      <c r="CG187" s="142"/>
      <c r="CH187" s="142"/>
      <c r="CI187" s="142"/>
      <c r="CJ187" s="142"/>
      <c r="CK187" s="142"/>
      <c r="CL187" s="142"/>
      <c r="CM187" s="142"/>
      <c r="CN187" s="142"/>
      <c r="CO187" s="142"/>
      <c r="CP187" s="142"/>
      <c r="CQ187" s="142"/>
    </row>
    <row r="188">
      <c r="A188" s="142"/>
      <c r="B188" s="142"/>
      <c r="C188" s="142"/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  <c r="AA188" s="142"/>
      <c r="AB188" s="142"/>
      <c r="AC188" s="142"/>
      <c r="AD188" s="142"/>
      <c r="AE188" s="142"/>
      <c r="AF188" s="142"/>
      <c r="AG188" s="142"/>
      <c r="AH188" s="142"/>
      <c r="AI188" s="142"/>
      <c r="AJ188" s="142"/>
      <c r="AK188" s="142"/>
      <c r="AL188" s="142"/>
      <c r="AM188" s="142"/>
      <c r="AN188" s="142"/>
      <c r="AO188" s="142"/>
      <c r="AP188" s="142"/>
      <c r="AQ188" s="142"/>
      <c r="AR188" s="142"/>
      <c r="AS188" s="142"/>
      <c r="AT188" s="142"/>
      <c r="AU188" s="142"/>
      <c r="AV188" s="142"/>
      <c r="AW188" s="142"/>
      <c r="AX188" s="142"/>
      <c r="AY188" s="142"/>
      <c r="AZ188" s="142"/>
      <c r="BA188" s="142"/>
      <c r="BB188" s="142"/>
      <c r="BC188" s="142"/>
      <c r="BD188" s="142"/>
      <c r="BE188" s="142"/>
      <c r="BF188" s="142"/>
      <c r="BG188" s="142"/>
      <c r="BH188" s="142"/>
      <c r="BI188" s="142"/>
      <c r="BJ188" s="142"/>
      <c r="BK188" s="142"/>
      <c r="BL188" s="142"/>
      <c r="BM188" s="142"/>
      <c r="BN188" s="142"/>
      <c r="BO188" s="142"/>
      <c r="BP188" s="142"/>
      <c r="BQ188" s="142"/>
      <c r="BR188" s="142"/>
      <c r="BS188" s="142"/>
      <c r="BT188" s="142"/>
      <c r="BU188" s="142"/>
      <c r="BV188" s="142"/>
      <c r="BW188" s="142"/>
      <c r="BX188" s="142"/>
      <c r="BY188" s="141"/>
      <c r="BZ188" s="141"/>
      <c r="CA188" s="141"/>
      <c r="CB188" s="141"/>
      <c r="CC188" s="141"/>
      <c r="CD188" s="141"/>
      <c r="CE188" s="142"/>
      <c r="CF188" s="142"/>
      <c r="CG188" s="142"/>
      <c r="CH188" s="142"/>
      <c r="CI188" s="142"/>
      <c r="CJ188" s="142"/>
      <c r="CK188" s="142"/>
      <c r="CL188" s="142"/>
      <c r="CM188" s="142"/>
      <c r="CN188" s="142"/>
      <c r="CO188" s="142"/>
      <c r="CP188" s="142"/>
      <c r="CQ188" s="142"/>
    </row>
    <row r="189">
      <c r="A189" s="142"/>
      <c r="B189" s="142"/>
      <c r="C189" s="14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  <c r="AO189" s="142"/>
      <c r="AP189" s="142"/>
      <c r="AQ189" s="142"/>
      <c r="AR189" s="142"/>
      <c r="AS189" s="142"/>
      <c r="AT189" s="142"/>
      <c r="AU189" s="142"/>
      <c r="AV189" s="142"/>
      <c r="AW189" s="142"/>
      <c r="AX189" s="142"/>
      <c r="AY189" s="142"/>
      <c r="AZ189" s="142"/>
      <c r="BA189" s="142"/>
      <c r="BB189" s="142"/>
      <c r="BC189" s="142"/>
      <c r="BD189" s="142"/>
      <c r="BE189" s="142"/>
      <c r="BF189" s="142"/>
      <c r="BG189" s="142"/>
      <c r="BH189" s="142"/>
      <c r="BI189" s="142"/>
      <c r="BJ189" s="142"/>
      <c r="BK189" s="142"/>
      <c r="BL189" s="142"/>
      <c r="BM189" s="142"/>
      <c r="BN189" s="142"/>
      <c r="BO189" s="142"/>
      <c r="BP189" s="142"/>
      <c r="BQ189" s="142"/>
      <c r="BR189" s="142"/>
      <c r="BS189" s="142"/>
      <c r="BT189" s="142"/>
      <c r="BU189" s="142"/>
      <c r="BV189" s="142"/>
      <c r="BW189" s="142"/>
      <c r="BX189" s="142"/>
      <c r="BY189" s="141"/>
      <c r="BZ189" s="141"/>
      <c r="CA189" s="141"/>
      <c r="CB189" s="141"/>
      <c r="CC189" s="141"/>
      <c r="CD189" s="141"/>
      <c r="CE189" s="142"/>
      <c r="CF189" s="142"/>
      <c r="CG189" s="142"/>
      <c r="CH189" s="142"/>
      <c r="CI189" s="142"/>
      <c r="CJ189" s="142"/>
      <c r="CK189" s="142"/>
      <c r="CL189" s="142"/>
      <c r="CM189" s="142"/>
      <c r="CN189" s="142"/>
      <c r="CO189" s="142"/>
      <c r="CP189" s="142"/>
      <c r="CQ189" s="142"/>
    </row>
    <row r="190">
      <c r="A190" s="142"/>
      <c r="B190" s="142"/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  <c r="AA190" s="142"/>
      <c r="AB190" s="142"/>
      <c r="AC190" s="142"/>
      <c r="AD190" s="142"/>
      <c r="AE190" s="142"/>
      <c r="AF190" s="142"/>
      <c r="AG190" s="142"/>
      <c r="AH190" s="142"/>
      <c r="AI190" s="142"/>
      <c r="AJ190" s="142"/>
      <c r="AK190" s="142"/>
      <c r="AL190" s="142"/>
      <c r="AM190" s="142"/>
      <c r="AN190" s="142"/>
      <c r="AO190" s="142"/>
      <c r="AP190" s="142"/>
      <c r="AQ190" s="142"/>
      <c r="AR190" s="142"/>
      <c r="AS190" s="142"/>
      <c r="AT190" s="142"/>
      <c r="AU190" s="142"/>
      <c r="AV190" s="142"/>
      <c r="AW190" s="142"/>
      <c r="AX190" s="142"/>
      <c r="AY190" s="142"/>
      <c r="AZ190" s="142"/>
      <c r="BA190" s="142"/>
      <c r="BB190" s="142"/>
      <c r="BC190" s="142"/>
      <c r="BD190" s="142"/>
      <c r="BE190" s="142"/>
      <c r="BF190" s="142"/>
      <c r="BG190" s="142"/>
      <c r="BH190" s="142"/>
      <c r="BI190" s="142"/>
      <c r="BJ190" s="142"/>
      <c r="BK190" s="142"/>
      <c r="BL190" s="142"/>
      <c r="BM190" s="142"/>
      <c r="BN190" s="142"/>
      <c r="BO190" s="142"/>
      <c r="BP190" s="142"/>
      <c r="BQ190" s="142"/>
      <c r="BR190" s="142"/>
      <c r="BS190" s="142"/>
      <c r="BT190" s="142"/>
      <c r="BU190" s="142"/>
      <c r="BV190" s="142"/>
      <c r="BW190" s="142"/>
      <c r="BX190" s="142"/>
      <c r="BY190" s="141"/>
      <c r="BZ190" s="141"/>
      <c r="CA190" s="141"/>
      <c r="CB190" s="141"/>
      <c r="CC190" s="141"/>
      <c r="CD190" s="141"/>
      <c r="CE190" s="142"/>
      <c r="CF190" s="142"/>
      <c r="CG190" s="142"/>
      <c r="CH190" s="142"/>
      <c r="CI190" s="142"/>
      <c r="CJ190" s="142"/>
      <c r="CK190" s="142"/>
      <c r="CL190" s="142"/>
      <c r="CM190" s="142"/>
      <c r="CN190" s="142"/>
      <c r="CO190" s="142"/>
      <c r="CP190" s="142"/>
      <c r="CQ190" s="142"/>
    </row>
    <row r="191">
      <c r="A191" s="142"/>
      <c r="B191" s="142"/>
      <c r="C191" s="14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  <c r="AA191" s="142"/>
      <c r="AB191" s="142"/>
      <c r="AC191" s="142"/>
      <c r="AD191" s="142"/>
      <c r="AE191" s="142"/>
      <c r="AF191" s="142"/>
      <c r="AG191" s="142"/>
      <c r="AH191" s="142"/>
      <c r="AI191" s="142"/>
      <c r="AJ191" s="142"/>
      <c r="AK191" s="142"/>
      <c r="AL191" s="142"/>
      <c r="AM191" s="142"/>
      <c r="AN191" s="142"/>
      <c r="AO191" s="142"/>
      <c r="AP191" s="142"/>
      <c r="AQ191" s="142"/>
      <c r="AR191" s="142"/>
      <c r="AS191" s="142"/>
      <c r="AT191" s="142"/>
      <c r="AU191" s="142"/>
      <c r="AV191" s="142"/>
      <c r="AW191" s="142"/>
      <c r="AX191" s="142"/>
      <c r="AY191" s="142"/>
      <c r="AZ191" s="142"/>
      <c r="BA191" s="142"/>
      <c r="BB191" s="142"/>
      <c r="BC191" s="142"/>
      <c r="BD191" s="142"/>
      <c r="BE191" s="142"/>
      <c r="BF191" s="142"/>
      <c r="BG191" s="142"/>
      <c r="BH191" s="142"/>
      <c r="BI191" s="142"/>
      <c r="BJ191" s="142"/>
      <c r="BK191" s="142"/>
      <c r="BL191" s="142"/>
      <c r="BM191" s="142"/>
      <c r="BN191" s="142"/>
      <c r="BO191" s="142"/>
      <c r="BP191" s="142"/>
      <c r="BQ191" s="142"/>
      <c r="BR191" s="142"/>
      <c r="BS191" s="142"/>
      <c r="BT191" s="142"/>
      <c r="BU191" s="142"/>
      <c r="BV191" s="142"/>
      <c r="BW191" s="142"/>
      <c r="BX191" s="142"/>
      <c r="BY191" s="141"/>
      <c r="BZ191" s="141"/>
      <c r="CA191" s="141"/>
      <c r="CB191" s="141"/>
      <c r="CC191" s="141"/>
      <c r="CD191" s="141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</row>
    <row r="192">
      <c r="A192" s="142"/>
      <c r="B192" s="142"/>
      <c r="C192" s="14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  <c r="AA192" s="142"/>
      <c r="AB192" s="142"/>
      <c r="AC192" s="142"/>
      <c r="AD192" s="142"/>
      <c r="AE192" s="142"/>
      <c r="AF192" s="142"/>
      <c r="AG192" s="142"/>
      <c r="AH192" s="142"/>
      <c r="AI192" s="142"/>
      <c r="AJ192" s="142"/>
      <c r="AK192" s="142"/>
      <c r="AL192" s="142"/>
      <c r="AM192" s="142"/>
      <c r="AN192" s="142"/>
      <c r="AO192" s="142"/>
      <c r="AP192" s="142"/>
      <c r="AQ192" s="142"/>
      <c r="AR192" s="142"/>
      <c r="AS192" s="142"/>
      <c r="AT192" s="142"/>
      <c r="AU192" s="142"/>
      <c r="AV192" s="142"/>
      <c r="AW192" s="142"/>
      <c r="AX192" s="142"/>
      <c r="AY192" s="142"/>
      <c r="AZ192" s="142"/>
      <c r="BA192" s="142"/>
      <c r="BB192" s="142"/>
      <c r="BC192" s="142"/>
      <c r="BD192" s="142"/>
      <c r="BE192" s="142"/>
      <c r="BF192" s="142"/>
      <c r="BG192" s="142"/>
      <c r="BH192" s="142"/>
      <c r="BI192" s="142"/>
      <c r="BJ192" s="142"/>
      <c r="BK192" s="142"/>
      <c r="BL192" s="142"/>
      <c r="BM192" s="142"/>
      <c r="BN192" s="142"/>
      <c r="BO192" s="142"/>
      <c r="BP192" s="142"/>
      <c r="BQ192" s="142"/>
      <c r="BR192" s="142"/>
      <c r="BS192" s="142"/>
      <c r="BT192" s="142"/>
      <c r="BU192" s="142"/>
      <c r="BV192" s="142"/>
      <c r="BW192" s="142"/>
      <c r="BX192" s="142"/>
      <c r="BY192" s="141"/>
      <c r="BZ192" s="141"/>
      <c r="CA192" s="141"/>
      <c r="CB192" s="141"/>
      <c r="CC192" s="141"/>
      <c r="CD192" s="141"/>
      <c r="CE192" s="142"/>
      <c r="CF192" s="142"/>
      <c r="CG192" s="142"/>
      <c r="CH192" s="142"/>
      <c r="CI192" s="142"/>
      <c r="CJ192" s="142"/>
      <c r="CK192" s="142"/>
      <c r="CL192" s="142"/>
      <c r="CM192" s="142"/>
      <c r="CN192" s="142"/>
      <c r="CO192" s="142"/>
      <c r="CP192" s="142"/>
      <c r="CQ192" s="142"/>
    </row>
    <row r="193">
      <c r="A193" s="142"/>
      <c r="B193" s="142"/>
      <c r="C193" s="142"/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  <c r="AA193" s="142"/>
      <c r="AB193" s="142"/>
      <c r="AC193" s="142"/>
      <c r="AD193" s="142"/>
      <c r="AE193" s="142"/>
      <c r="AF193" s="142"/>
      <c r="AG193" s="142"/>
      <c r="AH193" s="142"/>
      <c r="AI193" s="142"/>
      <c r="AJ193" s="142"/>
      <c r="AK193" s="142"/>
      <c r="AL193" s="142"/>
      <c r="AM193" s="142"/>
      <c r="AN193" s="142"/>
      <c r="AO193" s="142"/>
      <c r="AP193" s="142"/>
      <c r="AQ193" s="142"/>
      <c r="AR193" s="142"/>
      <c r="AS193" s="142"/>
      <c r="AT193" s="142"/>
      <c r="AU193" s="142"/>
      <c r="AV193" s="142"/>
      <c r="AW193" s="142"/>
      <c r="AX193" s="142"/>
      <c r="AY193" s="142"/>
      <c r="AZ193" s="142"/>
      <c r="BA193" s="142"/>
      <c r="BB193" s="142"/>
      <c r="BC193" s="142"/>
      <c r="BD193" s="142"/>
      <c r="BE193" s="142"/>
      <c r="BF193" s="142"/>
      <c r="BG193" s="142"/>
      <c r="BH193" s="142"/>
      <c r="BI193" s="142"/>
      <c r="BJ193" s="142"/>
      <c r="BK193" s="142"/>
      <c r="BL193" s="142"/>
      <c r="BM193" s="142"/>
      <c r="BN193" s="142"/>
      <c r="BO193" s="142"/>
      <c r="BP193" s="142"/>
      <c r="BQ193" s="142"/>
      <c r="BR193" s="142"/>
      <c r="BS193" s="142"/>
      <c r="BT193" s="142"/>
      <c r="BU193" s="142"/>
      <c r="BV193" s="142"/>
      <c r="BW193" s="142"/>
      <c r="BX193" s="142"/>
      <c r="BY193" s="141"/>
      <c r="BZ193" s="141"/>
      <c r="CA193" s="141"/>
      <c r="CB193" s="141"/>
      <c r="CC193" s="141"/>
      <c r="CD193" s="141"/>
      <c r="CE193" s="142"/>
      <c r="CF193" s="142"/>
      <c r="CG193" s="142"/>
      <c r="CH193" s="142"/>
      <c r="CI193" s="142"/>
      <c r="CJ193" s="142"/>
      <c r="CK193" s="142"/>
      <c r="CL193" s="142"/>
      <c r="CM193" s="142"/>
      <c r="CN193" s="142"/>
      <c r="CO193" s="142"/>
      <c r="CP193" s="142"/>
      <c r="CQ193" s="142"/>
    </row>
    <row r="194">
      <c r="A194" s="142"/>
      <c r="B194" s="142"/>
      <c r="C194" s="142"/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  <c r="AA194" s="142"/>
      <c r="AB194" s="142"/>
      <c r="AC194" s="142"/>
      <c r="AD194" s="142"/>
      <c r="AE194" s="142"/>
      <c r="AF194" s="142"/>
      <c r="AG194" s="142"/>
      <c r="AH194" s="142"/>
      <c r="AI194" s="142"/>
      <c r="AJ194" s="142"/>
      <c r="AK194" s="142"/>
      <c r="AL194" s="142"/>
      <c r="AM194" s="142"/>
      <c r="AN194" s="142"/>
      <c r="AO194" s="142"/>
      <c r="AP194" s="142"/>
      <c r="AQ194" s="142"/>
      <c r="AR194" s="142"/>
      <c r="AS194" s="142"/>
      <c r="AT194" s="142"/>
      <c r="AU194" s="142"/>
      <c r="AV194" s="142"/>
      <c r="AW194" s="142"/>
      <c r="AX194" s="142"/>
      <c r="AY194" s="142"/>
      <c r="AZ194" s="142"/>
      <c r="BA194" s="142"/>
      <c r="BB194" s="142"/>
      <c r="BC194" s="142"/>
      <c r="BD194" s="142"/>
      <c r="BE194" s="142"/>
      <c r="BF194" s="142"/>
      <c r="BG194" s="142"/>
      <c r="BH194" s="142"/>
      <c r="BI194" s="142"/>
      <c r="BJ194" s="142"/>
      <c r="BK194" s="142"/>
      <c r="BL194" s="142"/>
      <c r="BM194" s="142"/>
      <c r="BN194" s="142"/>
      <c r="BO194" s="142"/>
      <c r="BP194" s="142"/>
      <c r="BQ194" s="142"/>
      <c r="BR194" s="142"/>
      <c r="BS194" s="142"/>
      <c r="BT194" s="142"/>
      <c r="BU194" s="142"/>
      <c r="BV194" s="142"/>
      <c r="BW194" s="142"/>
      <c r="BX194" s="142"/>
      <c r="BY194" s="141"/>
      <c r="BZ194" s="141"/>
      <c r="CA194" s="141"/>
      <c r="CB194" s="141"/>
      <c r="CC194" s="141"/>
      <c r="CD194" s="141"/>
      <c r="CE194" s="142"/>
      <c r="CF194" s="142"/>
      <c r="CG194" s="142"/>
      <c r="CH194" s="142"/>
      <c r="CI194" s="142"/>
      <c r="CJ194" s="142"/>
      <c r="CK194" s="142"/>
      <c r="CL194" s="142"/>
      <c r="CM194" s="142"/>
      <c r="CN194" s="142"/>
      <c r="CO194" s="142"/>
      <c r="CP194" s="142"/>
      <c r="CQ194" s="142"/>
    </row>
    <row r="195">
      <c r="A195" s="142"/>
      <c r="B195" s="142"/>
      <c r="C195" s="142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  <c r="AA195" s="142"/>
      <c r="AB195" s="142"/>
      <c r="AC195" s="142"/>
      <c r="AD195" s="142"/>
      <c r="AE195" s="142"/>
      <c r="AF195" s="142"/>
      <c r="AG195" s="142"/>
      <c r="AH195" s="142"/>
      <c r="AI195" s="142"/>
      <c r="AJ195" s="142"/>
      <c r="AK195" s="142"/>
      <c r="AL195" s="142"/>
      <c r="AM195" s="142"/>
      <c r="AN195" s="142"/>
      <c r="AO195" s="142"/>
      <c r="AP195" s="142"/>
      <c r="AQ195" s="142"/>
      <c r="AR195" s="142"/>
      <c r="AS195" s="142"/>
      <c r="AT195" s="142"/>
      <c r="AU195" s="142"/>
      <c r="AV195" s="142"/>
      <c r="AW195" s="142"/>
      <c r="AX195" s="142"/>
      <c r="AY195" s="142"/>
      <c r="AZ195" s="142"/>
      <c r="BA195" s="142"/>
      <c r="BB195" s="142"/>
      <c r="BC195" s="142"/>
      <c r="BD195" s="142"/>
      <c r="BE195" s="142"/>
      <c r="BF195" s="142"/>
      <c r="BG195" s="142"/>
      <c r="BH195" s="142"/>
      <c r="BI195" s="142"/>
      <c r="BJ195" s="142"/>
      <c r="BK195" s="142"/>
      <c r="BL195" s="142"/>
      <c r="BM195" s="142"/>
      <c r="BN195" s="142"/>
      <c r="BO195" s="142"/>
      <c r="BP195" s="142"/>
      <c r="BQ195" s="142"/>
      <c r="BR195" s="142"/>
      <c r="BS195" s="142"/>
      <c r="BT195" s="142"/>
      <c r="BU195" s="142"/>
      <c r="BV195" s="142"/>
      <c r="BW195" s="142"/>
      <c r="BX195" s="142"/>
      <c r="BY195" s="141"/>
      <c r="BZ195" s="141"/>
      <c r="CA195" s="141"/>
      <c r="CB195" s="141"/>
      <c r="CC195" s="141"/>
      <c r="CD195" s="141"/>
      <c r="CE195" s="142"/>
      <c r="CF195" s="142"/>
      <c r="CG195" s="142"/>
      <c r="CH195" s="142"/>
      <c r="CI195" s="142"/>
      <c r="CJ195" s="142"/>
      <c r="CK195" s="142"/>
      <c r="CL195" s="142"/>
      <c r="CM195" s="142"/>
      <c r="CN195" s="142"/>
      <c r="CO195" s="142"/>
      <c r="CP195" s="142"/>
      <c r="CQ195" s="142"/>
    </row>
    <row r="196">
      <c r="A196" s="142"/>
      <c r="B196" s="142"/>
      <c r="C196" s="14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  <c r="AA196" s="142"/>
      <c r="AB196" s="142"/>
      <c r="AC196" s="142"/>
      <c r="AD196" s="142"/>
      <c r="AE196" s="142"/>
      <c r="AF196" s="142"/>
      <c r="AG196" s="142"/>
      <c r="AH196" s="142"/>
      <c r="AI196" s="142"/>
      <c r="AJ196" s="142"/>
      <c r="AK196" s="142"/>
      <c r="AL196" s="142"/>
      <c r="AM196" s="142"/>
      <c r="AN196" s="142"/>
      <c r="AO196" s="142"/>
      <c r="AP196" s="142"/>
      <c r="AQ196" s="142"/>
      <c r="AR196" s="142"/>
      <c r="AS196" s="142"/>
      <c r="AT196" s="142"/>
      <c r="AU196" s="142"/>
      <c r="AV196" s="142"/>
      <c r="AW196" s="142"/>
      <c r="AX196" s="142"/>
      <c r="AY196" s="142"/>
      <c r="AZ196" s="142"/>
      <c r="BA196" s="142"/>
      <c r="BB196" s="142"/>
      <c r="BC196" s="142"/>
      <c r="BD196" s="142"/>
      <c r="BE196" s="142"/>
      <c r="BF196" s="142"/>
      <c r="BG196" s="142"/>
      <c r="BH196" s="142"/>
      <c r="BI196" s="142"/>
      <c r="BJ196" s="142"/>
      <c r="BK196" s="142"/>
      <c r="BL196" s="142"/>
      <c r="BM196" s="142"/>
      <c r="BN196" s="142"/>
      <c r="BO196" s="142"/>
      <c r="BP196" s="142"/>
      <c r="BQ196" s="142"/>
      <c r="BR196" s="142"/>
      <c r="BS196" s="142"/>
      <c r="BT196" s="142"/>
      <c r="BU196" s="142"/>
      <c r="BV196" s="142"/>
      <c r="BW196" s="142"/>
      <c r="BX196" s="142"/>
      <c r="BY196" s="141"/>
      <c r="BZ196" s="141"/>
      <c r="CA196" s="141"/>
      <c r="CB196" s="141"/>
      <c r="CC196" s="141"/>
      <c r="CD196" s="141"/>
      <c r="CE196" s="142"/>
      <c r="CF196" s="142"/>
      <c r="CG196" s="142"/>
      <c r="CH196" s="142"/>
      <c r="CI196" s="142"/>
      <c r="CJ196" s="142"/>
      <c r="CK196" s="142"/>
      <c r="CL196" s="142"/>
      <c r="CM196" s="142"/>
      <c r="CN196" s="142"/>
      <c r="CO196" s="142"/>
      <c r="CP196" s="142"/>
      <c r="CQ196" s="142"/>
    </row>
    <row r="197">
      <c r="A197" s="142"/>
      <c r="B197" s="142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  <c r="AA197" s="142"/>
      <c r="AB197" s="142"/>
      <c r="AC197" s="142"/>
      <c r="AD197" s="142"/>
      <c r="AE197" s="142"/>
      <c r="AF197" s="142"/>
      <c r="AG197" s="142"/>
      <c r="AH197" s="142"/>
      <c r="AI197" s="142"/>
      <c r="AJ197" s="142"/>
      <c r="AK197" s="142"/>
      <c r="AL197" s="142"/>
      <c r="AM197" s="142"/>
      <c r="AN197" s="142"/>
      <c r="AO197" s="142"/>
      <c r="AP197" s="142"/>
      <c r="AQ197" s="142"/>
      <c r="AR197" s="142"/>
      <c r="AS197" s="142"/>
      <c r="AT197" s="142"/>
      <c r="AU197" s="142"/>
      <c r="AV197" s="142"/>
      <c r="AW197" s="142"/>
      <c r="AX197" s="142"/>
      <c r="AY197" s="142"/>
      <c r="AZ197" s="142"/>
      <c r="BA197" s="142"/>
      <c r="BB197" s="142"/>
      <c r="BC197" s="142"/>
      <c r="BD197" s="142"/>
      <c r="BE197" s="142"/>
      <c r="BF197" s="142"/>
      <c r="BG197" s="142"/>
      <c r="BH197" s="142"/>
      <c r="BI197" s="142"/>
      <c r="BJ197" s="142"/>
      <c r="BK197" s="142"/>
      <c r="BL197" s="142"/>
      <c r="BM197" s="142"/>
      <c r="BN197" s="142"/>
      <c r="BO197" s="142"/>
      <c r="BP197" s="142"/>
      <c r="BQ197" s="142"/>
      <c r="BR197" s="142"/>
      <c r="BS197" s="142"/>
      <c r="BT197" s="142"/>
      <c r="BU197" s="142"/>
      <c r="BV197" s="142"/>
      <c r="BW197" s="142"/>
      <c r="BX197" s="142"/>
      <c r="BY197" s="141"/>
      <c r="BZ197" s="141"/>
      <c r="CA197" s="141"/>
      <c r="CB197" s="141"/>
      <c r="CC197" s="141"/>
      <c r="CD197" s="141"/>
      <c r="CE197" s="142"/>
      <c r="CF197" s="142"/>
      <c r="CG197" s="142"/>
      <c r="CH197" s="142"/>
      <c r="CI197" s="142"/>
      <c r="CJ197" s="142"/>
      <c r="CK197" s="142"/>
      <c r="CL197" s="142"/>
      <c r="CM197" s="142"/>
      <c r="CN197" s="142"/>
      <c r="CO197" s="142"/>
      <c r="CP197" s="142"/>
      <c r="CQ197" s="142"/>
    </row>
    <row r="198">
      <c r="A198" s="142"/>
      <c r="B198" s="142"/>
      <c r="C198" s="14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  <c r="AA198" s="142"/>
      <c r="AB198" s="142"/>
      <c r="AC198" s="142"/>
      <c r="AD198" s="142"/>
      <c r="AE198" s="142"/>
      <c r="AF198" s="142"/>
      <c r="AG198" s="142"/>
      <c r="AH198" s="142"/>
      <c r="AI198" s="142"/>
      <c r="AJ198" s="142"/>
      <c r="AK198" s="142"/>
      <c r="AL198" s="142"/>
      <c r="AM198" s="142"/>
      <c r="AN198" s="142"/>
      <c r="AO198" s="142"/>
      <c r="AP198" s="142"/>
      <c r="AQ198" s="142"/>
      <c r="AR198" s="142"/>
      <c r="AS198" s="142"/>
      <c r="AT198" s="142"/>
      <c r="AU198" s="142"/>
      <c r="AV198" s="142"/>
      <c r="AW198" s="142"/>
      <c r="AX198" s="142"/>
      <c r="AY198" s="142"/>
      <c r="AZ198" s="142"/>
      <c r="BA198" s="142"/>
      <c r="BB198" s="142"/>
      <c r="BC198" s="142"/>
      <c r="BD198" s="142"/>
      <c r="BE198" s="142"/>
      <c r="BF198" s="142"/>
      <c r="BG198" s="142"/>
      <c r="BH198" s="142"/>
      <c r="BI198" s="142"/>
      <c r="BJ198" s="142"/>
      <c r="BK198" s="142"/>
      <c r="BL198" s="142"/>
      <c r="BM198" s="142"/>
      <c r="BN198" s="142"/>
      <c r="BO198" s="142"/>
      <c r="BP198" s="142"/>
      <c r="BQ198" s="142"/>
      <c r="BR198" s="142"/>
      <c r="BS198" s="142"/>
      <c r="BT198" s="142"/>
      <c r="BU198" s="142"/>
      <c r="BV198" s="142"/>
      <c r="BW198" s="142"/>
      <c r="BX198" s="142"/>
      <c r="BY198" s="141"/>
      <c r="BZ198" s="141"/>
      <c r="CA198" s="141"/>
      <c r="CB198" s="141"/>
      <c r="CC198" s="141"/>
      <c r="CD198" s="141"/>
      <c r="CE198" s="142"/>
      <c r="CF198" s="142"/>
      <c r="CG198" s="142"/>
      <c r="CH198" s="142"/>
      <c r="CI198" s="142"/>
      <c r="CJ198" s="142"/>
      <c r="CK198" s="142"/>
      <c r="CL198" s="142"/>
      <c r="CM198" s="142"/>
      <c r="CN198" s="142"/>
      <c r="CO198" s="142"/>
      <c r="CP198" s="142"/>
      <c r="CQ198" s="142"/>
    </row>
    <row r="199">
      <c r="A199" s="142"/>
      <c r="B199" s="142"/>
      <c r="C199" s="142"/>
      <c r="D199" s="142"/>
      <c r="E199" s="142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  <c r="AA199" s="142"/>
      <c r="AB199" s="142"/>
      <c r="AC199" s="142"/>
      <c r="AD199" s="142"/>
      <c r="AE199" s="142"/>
      <c r="AF199" s="142"/>
      <c r="AG199" s="142"/>
      <c r="AH199" s="142"/>
      <c r="AI199" s="142"/>
      <c r="AJ199" s="142"/>
      <c r="AK199" s="142"/>
      <c r="AL199" s="142"/>
      <c r="AM199" s="142"/>
      <c r="AN199" s="142"/>
      <c r="AO199" s="142"/>
      <c r="AP199" s="142"/>
      <c r="AQ199" s="142"/>
      <c r="AR199" s="142"/>
      <c r="AS199" s="142"/>
      <c r="AT199" s="142"/>
      <c r="AU199" s="142"/>
      <c r="AV199" s="142"/>
      <c r="AW199" s="142"/>
      <c r="AX199" s="142"/>
      <c r="AY199" s="142"/>
      <c r="AZ199" s="142"/>
      <c r="BA199" s="142"/>
      <c r="BB199" s="142"/>
      <c r="BC199" s="142"/>
      <c r="BD199" s="142"/>
      <c r="BE199" s="142"/>
      <c r="BF199" s="142"/>
      <c r="BG199" s="142"/>
      <c r="BH199" s="142"/>
      <c r="BI199" s="142"/>
      <c r="BJ199" s="142"/>
      <c r="BK199" s="142"/>
      <c r="BL199" s="142"/>
      <c r="BM199" s="142"/>
      <c r="BN199" s="142"/>
      <c r="BO199" s="142"/>
      <c r="BP199" s="142"/>
      <c r="BQ199" s="142"/>
      <c r="BR199" s="142"/>
      <c r="BS199" s="142"/>
      <c r="BT199" s="142"/>
      <c r="BU199" s="142"/>
      <c r="BV199" s="142"/>
      <c r="BW199" s="142"/>
      <c r="BX199" s="142"/>
      <c r="BY199" s="141"/>
      <c r="BZ199" s="141"/>
      <c r="CA199" s="141"/>
      <c r="CB199" s="141"/>
      <c r="CC199" s="141"/>
      <c r="CD199" s="141"/>
      <c r="CE199" s="142"/>
      <c r="CF199" s="142"/>
      <c r="CG199" s="142"/>
      <c r="CH199" s="142"/>
      <c r="CI199" s="142"/>
      <c r="CJ199" s="142"/>
      <c r="CK199" s="142"/>
      <c r="CL199" s="142"/>
      <c r="CM199" s="142"/>
      <c r="CN199" s="142"/>
      <c r="CO199" s="142"/>
      <c r="CP199" s="142"/>
      <c r="CQ199" s="142"/>
    </row>
    <row r="200">
      <c r="A200" s="142"/>
      <c r="B200" s="142"/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  <c r="AA200" s="142"/>
      <c r="AB200" s="142"/>
      <c r="AC200" s="142"/>
      <c r="AD200" s="142"/>
      <c r="AE200" s="142"/>
      <c r="AF200" s="142"/>
      <c r="AG200" s="142"/>
      <c r="AH200" s="142"/>
      <c r="AI200" s="142"/>
      <c r="AJ200" s="142"/>
      <c r="AK200" s="142"/>
      <c r="AL200" s="142"/>
      <c r="AM200" s="142"/>
      <c r="AN200" s="142"/>
      <c r="AO200" s="142"/>
      <c r="AP200" s="142"/>
      <c r="AQ200" s="142"/>
      <c r="AR200" s="142"/>
      <c r="AS200" s="142"/>
      <c r="AT200" s="142"/>
      <c r="AU200" s="142"/>
      <c r="AV200" s="142"/>
      <c r="AW200" s="142"/>
      <c r="AX200" s="142"/>
      <c r="AY200" s="142"/>
      <c r="AZ200" s="142"/>
      <c r="BA200" s="142"/>
      <c r="BB200" s="142"/>
      <c r="BC200" s="142"/>
      <c r="BD200" s="142"/>
      <c r="BE200" s="142"/>
      <c r="BF200" s="142"/>
      <c r="BG200" s="142"/>
      <c r="BH200" s="142"/>
      <c r="BI200" s="142"/>
      <c r="BJ200" s="142"/>
      <c r="BK200" s="142"/>
      <c r="BL200" s="142"/>
      <c r="BM200" s="142"/>
      <c r="BN200" s="142"/>
      <c r="BO200" s="142"/>
      <c r="BP200" s="142"/>
      <c r="BQ200" s="142"/>
      <c r="BR200" s="142"/>
      <c r="BS200" s="142"/>
      <c r="BT200" s="142"/>
      <c r="BU200" s="142"/>
      <c r="BV200" s="142"/>
      <c r="BW200" s="142"/>
      <c r="BX200" s="142"/>
      <c r="BY200" s="141"/>
      <c r="BZ200" s="141"/>
      <c r="CA200" s="141"/>
      <c r="CB200" s="141"/>
      <c r="CC200" s="141"/>
      <c r="CD200" s="141"/>
      <c r="CE200" s="142"/>
      <c r="CF200" s="142"/>
      <c r="CG200" s="142"/>
      <c r="CH200" s="142"/>
      <c r="CI200" s="142"/>
      <c r="CJ200" s="142"/>
      <c r="CK200" s="142"/>
      <c r="CL200" s="142"/>
      <c r="CM200" s="142"/>
      <c r="CN200" s="142"/>
      <c r="CO200" s="142"/>
      <c r="CP200" s="142"/>
      <c r="CQ200" s="142"/>
    </row>
  </sheetData>
  <autoFilter ref="C2:BX15"/>
  <mergeCells>
    <mergeCell ref="D1:O1"/>
    <mergeCell ref="P1:U1"/>
    <mergeCell ref="V1:AG1"/>
    <mergeCell ref="AH1:AM1"/>
    <mergeCell ref="AN1:AY1"/>
    <mergeCell ref="AZ1:BK1"/>
    <mergeCell ref="BL1:BS1"/>
    <mergeCell ref="BY1:CD1"/>
    <mergeCell ref="CF1:CK1"/>
    <mergeCell ref="CL1:CQ1"/>
    <mergeCell ref="B1:B2"/>
    <mergeCell ref="C1:C2"/>
  </mergeCells>
  <pageMargins bottom="1" footer="0.5" header="0.5" left="0.75" right="0.75" top="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FFC000"/>
    <outlinePr summaryBelow="false" summaryRight="false"/>
  </sheetPr>
  <dimension ref="A1"/>
  <sheetViews>
    <sheetView showGridLines="true" workbookViewId="0"/>
  </sheetViews>
  <sheetFormatPr defaultColWidth="8" defaultRowHeight="16"/>
  <cols>
    <col collapsed="false" customWidth="true" hidden="false" max="2" min="2" style="0" width="15"/>
    <col collapsed="false" customWidth="true" hidden="false" max="6" min="6" style="0" width="12"/>
    <col collapsed="false" customWidth="true" hidden="false" max="10" min="10" style="0" width="12"/>
    <col collapsed="false" customWidth="true" hidden="false" max="14" min="14" style="0" width="12"/>
    <col collapsed="false" customWidth="true" hidden="false" max="18" min="18" style="0" width="9"/>
    <col collapsed="false" customWidth="true" hidden="false" max="22" min="22" style="0" width="9"/>
    <col collapsed="false" customWidth="true" hidden="false" max="26" min="26" style="0" width="9"/>
    <col collapsed="false" customWidth="true" hidden="false" max="3" min="3" style="0" width="12"/>
    <col collapsed="false" customWidth="true" hidden="false" max="7" min="7" style="0" width="14"/>
    <col collapsed="false" customWidth="true" hidden="false" max="11" min="11" style="0" width="16"/>
    <col collapsed="false" customWidth="true" hidden="false" max="15" min="15" style="0" width="18"/>
    <col collapsed="false" customWidth="true" hidden="false" max="19" min="19" style="0" width="9"/>
    <col collapsed="false" customWidth="true" hidden="false" max="23" min="23" style="0" width="9"/>
    <col collapsed="false" customWidth="true" hidden="false" max="4" min="4" style="0" width="14"/>
    <col collapsed="false" customWidth="true" hidden="false" max="8" min="8" style="0" width="14"/>
    <col collapsed="false" customWidth="true" hidden="false" max="12" min="12" style="0" width="12"/>
    <col collapsed="false" customWidth="true" hidden="false" max="16" min="16" style="0" width="9"/>
    <col collapsed="false" customWidth="true" hidden="false" max="20" min="20" style="0" width="9"/>
    <col collapsed="false" customWidth="true" hidden="false" max="24" min="24" style="0" width="9"/>
    <col collapsed="false" customWidth="true" hidden="false" max="1" min="1" style="0" width="15"/>
    <col collapsed="false" customWidth="true" hidden="false" max="5" min="5" style="0" width="19"/>
    <col collapsed="false" customWidth="true" hidden="false" max="9" min="9" style="0" width="14"/>
    <col collapsed="false" customWidth="true" hidden="false" max="13" min="13" style="0" width="12"/>
    <col collapsed="false" customWidth="true" hidden="false" max="17" min="17" style="0" width="9"/>
    <col collapsed="false" customWidth="true" hidden="false" max="21" min="21" style="0" width="9"/>
    <col collapsed="false" customWidth="true" hidden="false" max="25" min="25" style="0" width="9"/>
  </cols>
  <sheetData>
    <row customHeight="true" ht="13" r="1">
      <c r="A1" s="148" t="s">
        <v>217</v>
      </c>
      <c r="B1" s="149"/>
      <c r="D1" s="149"/>
    </row>
    <row customHeight="true" ht="14" r="2">
      <c r="A2" s="150" t="s">
        <v>218</v>
      </c>
      <c r="B2" s="151"/>
      <c r="C2" s="150"/>
      <c r="D2" s="151"/>
      <c r="E2" s="150"/>
      <c r="G2" s="152" t="s">
        <v>219</v>
      </c>
      <c r="H2" s="152"/>
      <c r="I2" s="152"/>
      <c r="J2" s="152"/>
      <c r="K2" s="152"/>
    </row>
    <row customHeight="true" ht="14" r="3">
      <c r="A3" s="153" t="s">
        <v>220</v>
      </c>
      <c r="B3" s="153" t="s">
        <v>221</v>
      </c>
      <c r="C3" s="153" t="s">
        <v>222</v>
      </c>
      <c r="D3" s="153" t="s">
        <v>223</v>
      </c>
      <c r="E3" s="153" t="s">
        <v>224</v>
      </c>
      <c r="G3" s="154" t="s">
        <v>225</v>
      </c>
      <c r="H3" s="154" t="s">
        <v>226</v>
      </c>
      <c r="I3" s="154" t="s">
        <v>227</v>
      </c>
      <c r="J3" s="154" t="s">
        <v>228</v>
      </c>
      <c r="K3" s="154" t="s">
        <v>229</v>
      </c>
    </row>
    <row customHeight="true" ht="13" r="4">
      <c r="A4" s="155" t="s">
        <v>230</v>
      </c>
      <c r="B4" s="156" t="s">
        <v>231</v>
      </c>
      <c r="C4" s="157">
        <v>3000219</v>
      </c>
      <c r="D4" s="158" t="s">
        <v>232</v>
      </c>
      <c r="E4" s="159" t="s">
        <v>233</v>
      </c>
      <c r="F4" s="159"/>
      <c r="G4" s="160" t="s">
        <v>234</v>
      </c>
      <c r="H4" s="161">
        <v>101991</v>
      </c>
      <c r="I4" s="161">
        <v>87343</v>
      </c>
      <c r="J4" s="162">
        <f t="shared" ref="J4:J9" si="0">IFERROR(I4/H4-1,0)</f>
      </c>
      <c r="K4" s="162">
        <f t="shared" ref="K4:K9" si="19">2.8%+0.3*(J4-2.8%)</f>
      </c>
    </row>
    <row customHeight="true" ht="13" r="5">
      <c r="A5" s="155" t="s">
        <v>230</v>
      </c>
      <c r="B5" s="156" t="s">
        <v>235</v>
      </c>
      <c r="C5" s="157">
        <v>3151253</v>
      </c>
      <c r="D5" s="158">
        <f>C5/C4-1</f>
      </c>
      <c r="E5" s="159" t="s">
        <v>233</v>
      </c>
      <c r="F5" s="159"/>
      <c r="G5" s="160" t="s">
        <v>236</v>
      </c>
      <c r="H5" s="161">
        <v>123187</v>
      </c>
      <c r="I5" s="161">
        <v>109170</v>
      </c>
      <c r="J5" s="162">
        <f t="shared" si="0"/>
      </c>
      <c r="K5" s="162">
        <f t="shared" si="19"/>
      </c>
    </row>
    <row customHeight="true" ht="13" r="6">
      <c r="A6" s="155" t="s">
        <v>230</v>
      </c>
      <c r="B6" s="156" t="s">
        <v>237</v>
      </c>
      <c r="C6" s="157">
        <v>1831843</v>
      </c>
      <c r="D6" s="158">
        <v>0.028105838873252</v>
      </c>
      <c r="E6" s="159" t="s">
        <v>233</v>
      </c>
      <c r="F6" s="159"/>
      <c r="G6" s="160" t="s">
        <v>238</v>
      </c>
      <c r="H6" s="161">
        <v>255621</v>
      </c>
      <c r="I6" s="161">
        <v>275204</v>
      </c>
      <c r="J6" s="162">
        <f t="shared" si="0"/>
      </c>
      <c r="K6" s="162">
        <f t="shared" si="19"/>
      </c>
    </row>
    <row customHeight="true" ht="13" r="7">
      <c r="A7" s="159"/>
      <c r="B7" s="156"/>
      <c r="C7" s="159"/>
      <c r="D7" s="158"/>
      <c r="E7" s="159"/>
      <c r="F7" s="159"/>
      <c r="G7" s="160" t="s">
        <v>239</v>
      </c>
      <c r="H7" s="161">
        <v>364728</v>
      </c>
      <c r="I7" s="161">
        <v>369265</v>
      </c>
      <c r="J7" s="162">
        <f t="shared" si="0"/>
      </c>
      <c r="K7" s="162">
        <f t="shared" si="19"/>
      </c>
    </row>
    <row customHeight="true" ht="13" r="8">
      <c r="A8" s="159"/>
      <c r="B8" s="156"/>
      <c r="C8" s="159"/>
      <c r="D8" s="158"/>
      <c r="E8" s="159"/>
      <c r="F8" s="159"/>
      <c r="G8" s="160" t="s">
        <v>240</v>
      </c>
      <c r="H8" s="161">
        <v>484252</v>
      </c>
      <c r="I8" s="161">
        <v>471247</v>
      </c>
      <c r="J8" s="162">
        <f t="shared" si="0"/>
      </c>
      <c r="K8" s="162">
        <f t="shared" si="19"/>
      </c>
    </row>
    <row customHeight="true" ht="13" r="9">
      <c r="A9" s="159"/>
      <c r="B9" s="156"/>
      <c r="C9" s="159"/>
      <c r="D9" s="158"/>
      <c r="E9" s="159"/>
      <c r="F9" s="159"/>
      <c r="G9" s="160" t="s">
        <v>241</v>
      </c>
      <c r="H9" s="161">
        <v>451986</v>
      </c>
      <c r="I9" s="161">
        <v>519614</v>
      </c>
      <c r="J9" s="162">
        <f t="shared" si="0"/>
      </c>
      <c r="K9" s="162">
        <f t="shared" si="19"/>
      </c>
    </row>
    <row customHeight="true" ht="13" r="10">
      <c r="A10" s="159"/>
      <c r="B10" s="156"/>
      <c r="C10" s="159"/>
      <c r="D10" s="158"/>
      <c r="E10" s="159"/>
      <c r="F10" s="159"/>
    </row>
    <row customHeight="true" ht="13" r="11">
      <c r="A11" s="159"/>
      <c r="B11" s="156"/>
      <c r="C11" s="159"/>
      <c r="D11" s="158"/>
      <c r="E11" s="159"/>
      <c r="F11" s="159"/>
    </row>
    <row customHeight="true" ht="13" r="12">
      <c r="A12" s="159"/>
      <c r="B12" s="156"/>
      <c r="C12" s="159"/>
      <c r="D12" s="158"/>
      <c r="E12" s="159"/>
      <c r="F12" s="159"/>
    </row>
    <row customHeight="true" ht="13" r="13">
      <c r="A13" s="159"/>
      <c r="B13" s="156"/>
      <c r="C13" s="159"/>
      <c r="D13" s="158"/>
      <c r="E13" s="159"/>
      <c r="F13" s="159"/>
    </row>
    <row r="14">
      <c r="B14" s="149"/>
      <c r="D14" s="149"/>
    </row>
    <row r="15">
      <c r="B15" s="149"/>
      <c r="D15" s="149"/>
    </row>
    <row customHeight="true" ht="13" r="16">
      <c r="A16" s="150" t="s">
        <v>242</v>
      </c>
      <c r="B16" s="151"/>
      <c r="C16" s="150"/>
      <c r="D16" s="151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</row>
    <row customHeight="true" ht="26" r="17">
      <c r="A17" s="153" t="s">
        <v>220</v>
      </c>
      <c r="B17" s="153" t="s">
        <v>243</v>
      </c>
      <c r="C17" s="153" t="s">
        <v>244</v>
      </c>
      <c r="D17" s="153" t="s">
        <v>245</v>
      </c>
      <c r="E17" s="153" t="s">
        <v>246</v>
      </c>
      <c r="F17" s="153" t="s">
        <v>247</v>
      </c>
      <c r="G17" s="153" t="s">
        <v>248</v>
      </c>
      <c r="H17" s="153" t="s">
        <v>249</v>
      </c>
      <c r="I17" s="153" t="s">
        <v>250</v>
      </c>
      <c r="J17" s="153" t="s">
        <v>251</v>
      </c>
      <c r="K17" s="153" t="s">
        <v>252</v>
      </c>
      <c r="L17" s="153" t="s">
        <v>253</v>
      </c>
      <c r="M17" s="153" t="s">
        <v>254</v>
      </c>
      <c r="N17" s="153" t="s">
        <v>255</v>
      </c>
      <c r="O17" s="153" t="s">
        <v>244</v>
      </c>
      <c r="P17" s="153" t="s">
        <v>245</v>
      </c>
      <c r="Q17" s="153" t="s">
        <v>246</v>
      </c>
      <c r="R17" s="153" t="s">
        <v>247</v>
      </c>
      <c r="S17" s="153" t="s">
        <v>248</v>
      </c>
      <c r="T17" s="153" t="s">
        <v>249</v>
      </c>
      <c r="U17" s="153" t="s">
        <v>250</v>
      </c>
      <c r="V17" s="153" t="s">
        <v>251</v>
      </c>
      <c r="W17" s="153" t="s">
        <v>252</v>
      </c>
      <c r="X17" s="153" t="s">
        <v>253</v>
      </c>
      <c r="Y17" s="153" t="s">
        <v>254</v>
      </c>
      <c r="Z17" s="153" t="s">
        <v>255</v>
      </c>
      <c r="AA17" s="153" t="s">
        <v>224</v>
      </c>
    </row>
    <row customHeight="true" ht="35" r="18">
      <c r="A18" s="155" t="s">
        <v>230</v>
      </c>
      <c r="B18" s="156" t="s">
        <v>256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7"/>
      <c r="P18" s="163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9"/>
    </row>
    <row customHeight="true" ht="38" r="19">
      <c r="A19" s="155" t="s">
        <v>230</v>
      </c>
      <c r="B19" s="156" t="s">
        <v>231</v>
      </c>
      <c r="C19" s="156" t="s">
        <v>232</v>
      </c>
      <c r="D19" s="156" t="s">
        <v>232</v>
      </c>
      <c r="E19" s="156" t="s">
        <v>232</v>
      </c>
      <c r="F19" s="156" t="s">
        <v>232</v>
      </c>
      <c r="G19" s="156" t="s">
        <v>232</v>
      </c>
      <c r="H19" s="156" t="s">
        <v>232</v>
      </c>
      <c r="I19" s="156" t="s">
        <v>232</v>
      </c>
      <c r="J19" s="156" t="s">
        <v>232</v>
      </c>
      <c r="K19" s="156" t="s">
        <v>232</v>
      </c>
      <c r="L19" s="156" t="s">
        <v>232</v>
      </c>
      <c r="M19" s="156" t="s">
        <v>232</v>
      </c>
      <c r="N19" s="156" t="s">
        <v>232</v>
      </c>
      <c r="O19" s="157">
        <v>84794</v>
      </c>
      <c r="P19" s="163">
        <v>108354</v>
      </c>
      <c r="Q19" s="157">
        <v>233983</v>
      </c>
      <c r="R19" s="157">
        <v>347426</v>
      </c>
      <c r="S19" s="157">
        <v>449824</v>
      </c>
      <c r="T19" s="157">
        <v>403338</v>
      </c>
      <c r="U19" s="157">
        <v>380697</v>
      </c>
      <c r="V19" s="157">
        <v>269701</v>
      </c>
      <c r="W19" s="157">
        <v>234012</v>
      </c>
      <c r="X19" s="157">
        <v>199521</v>
      </c>
      <c r="Y19" s="157">
        <v>162869</v>
      </c>
      <c r="Z19" s="157">
        <v>125700</v>
      </c>
      <c r="AA19" s="159" t="s">
        <v>233</v>
      </c>
    </row>
    <row customHeight="true" ht="38" r="20">
      <c r="A20" s="155" t="s">
        <v>230</v>
      </c>
      <c r="B20" s="156" t="s">
        <v>235</v>
      </c>
      <c r="C20" s="164">
        <f t="shared" ref="C20:C21" si="20">(O20-Z19)/Z19</f>
      </c>
      <c r="D20" s="164">
        <f t="shared" ref="D20:D21" si="2">(P20-O20)/O20</f>
      </c>
      <c r="E20" s="164">
        <f t="shared" ref="E20:E21" si="4">(Q20-P20)/P20</f>
      </c>
      <c r="F20" s="164">
        <f t="shared" ref="F20:F21" si="6">(R20-Q20)/Q20</f>
      </c>
      <c r="G20" s="164">
        <f t="shared" ref="G20:G21" si="8">(S20-R20)/R20</f>
      </c>
      <c r="H20" s="164">
        <f t="shared" ref="H20:H21" si="10">(T20-S20)/S20</f>
      </c>
      <c r="I20" s="164">
        <f>(U20-T20)/T20</f>
      </c>
      <c r="J20" s="164">
        <f>(V20-U20)/U20</f>
      </c>
      <c r="K20" s="164">
        <f>(W20-V20)/V20</f>
      </c>
      <c r="L20" s="164">
        <f>(X20-W20)/W20</f>
      </c>
      <c r="M20" s="164">
        <f>(Y20-X20)/X20</f>
      </c>
      <c r="N20" s="164">
        <f>(Z20-Y20)/Y20</f>
      </c>
      <c r="O20" s="157">
        <v>101991</v>
      </c>
      <c r="P20" s="163">
        <v>123187</v>
      </c>
      <c r="Q20" s="157">
        <v>255621</v>
      </c>
      <c r="R20" s="157">
        <v>364728</v>
      </c>
      <c r="S20" s="157">
        <v>484252</v>
      </c>
      <c r="T20" s="157">
        <v>451986</v>
      </c>
      <c r="U20" s="157">
        <v>402639</v>
      </c>
      <c r="V20" s="157">
        <v>275803</v>
      </c>
      <c r="W20" s="157">
        <v>231220</v>
      </c>
      <c r="X20" s="157">
        <v>175245</v>
      </c>
      <c r="Y20" s="157">
        <v>167387</v>
      </c>
      <c r="Z20" s="157">
        <v>117194</v>
      </c>
      <c r="AA20" s="159" t="s">
        <v>233</v>
      </c>
    </row>
    <row customHeight="true" ht="38" r="21">
      <c r="A21" s="155" t="s">
        <v>230</v>
      </c>
      <c r="B21" s="156" t="s">
        <v>257</v>
      </c>
      <c r="C21" s="164">
        <f t="shared" si="20"/>
      </c>
      <c r="D21" s="164">
        <f t="shared" si="2"/>
      </c>
      <c r="E21" s="164">
        <f t="shared" si="4"/>
      </c>
      <c r="F21" s="164">
        <f t="shared" si="6"/>
      </c>
      <c r="G21" s="164">
        <f t="shared" si="8"/>
      </c>
      <c r="H21" s="164">
        <f t="shared" si="10"/>
      </c>
      <c r="I21" s="164"/>
      <c r="J21" s="156"/>
      <c r="K21" s="156"/>
      <c r="L21" s="156"/>
      <c r="M21" s="156"/>
      <c r="N21" s="156"/>
      <c r="O21" s="157">
        <v>87343</v>
      </c>
      <c r="P21" s="163">
        <v>109170</v>
      </c>
      <c r="Q21" s="157">
        <v>275204</v>
      </c>
      <c r="R21" s="157">
        <v>369265</v>
      </c>
      <c r="S21" s="157">
        <v>471247</v>
      </c>
      <c r="T21" s="157">
        <v>519614</v>
      </c>
      <c r="U21" s="157">
        <v>328894</v>
      </c>
      <c r="V21" s="157"/>
      <c r="W21" s="157"/>
      <c r="X21" s="157"/>
      <c r="Y21" s="157"/>
      <c r="Z21" s="157"/>
      <c r="AA21" s="159" t="s">
        <v>233</v>
      </c>
    </row>
    <row customHeight="true" ht="13" r="22">
      <c r="A22" s="159"/>
      <c r="B22" s="156"/>
      <c r="C22" s="159"/>
      <c r="D22" s="156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</row>
    <row customHeight="true" ht="13" r="23">
      <c r="A23" s="159"/>
      <c r="B23" s="156"/>
      <c r="C23" s="159"/>
      <c r="D23" s="156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</row>
    <row customHeight="true" ht="13" r="24">
      <c r="A24" s="148" t="s">
        <v>258</v>
      </c>
      <c r="B24" s="156"/>
      <c r="C24" s="159"/>
      <c r="D24" s="156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</row>
    <row customHeight="true" ht="13" r="25">
      <c r="A25" s="159"/>
      <c r="B25" s="156"/>
      <c r="C25" s="159"/>
      <c r="D25" s="156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</row>
    <row customHeight="true" ht="14" r="26">
      <c r="A26" s="153" t="s">
        <v>220</v>
      </c>
      <c r="B26" s="153" t="s">
        <v>221</v>
      </c>
      <c r="C26" s="153" t="s">
        <v>222</v>
      </c>
      <c r="D26" s="153" t="s">
        <v>223</v>
      </c>
      <c r="E26" s="153" t="s">
        <v>224</v>
      </c>
      <c r="F26" s="159"/>
      <c r="G26" s="152" t="s">
        <v>219</v>
      </c>
      <c r="H26" s="152"/>
      <c r="I26" s="152"/>
      <c r="J26" s="152"/>
      <c r="K26" s="152"/>
      <c r="L26" s="159"/>
      <c r="M26" s="159"/>
      <c r="N26" s="159"/>
      <c r="O26" s="159"/>
    </row>
    <row customHeight="true" ht="14" r="27">
      <c r="A27" s="155" t="s">
        <v>230</v>
      </c>
      <c r="B27" s="156" t="s">
        <v>231</v>
      </c>
      <c r="C27" s="157">
        <v>81997</v>
      </c>
      <c r="D27" s="158" t="s">
        <v>232</v>
      </c>
      <c r="E27" s="159" t="s">
        <v>259</v>
      </c>
      <c r="F27" s="159"/>
      <c r="G27" s="154" t="s">
        <v>225</v>
      </c>
      <c r="H27" s="154" t="s">
        <v>226</v>
      </c>
      <c r="I27" s="154" t="s">
        <v>227</v>
      </c>
      <c r="J27" s="154" t="s">
        <v>228</v>
      </c>
      <c r="K27" s="154" t="s">
        <v>229</v>
      </c>
      <c r="L27" s="159"/>
      <c r="M27" s="159"/>
      <c r="N27" s="159"/>
      <c r="O27" s="159"/>
    </row>
    <row customHeight="true" ht="13" r="28">
      <c r="A28" s="155" t="s">
        <v>230</v>
      </c>
      <c r="B28" s="156" t="s">
        <v>235</v>
      </c>
      <c r="C28" s="157">
        <v>182515</v>
      </c>
      <c r="D28" s="158">
        <v>1.22587411734576</v>
      </c>
      <c r="E28" s="159" t="s">
        <v>259</v>
      </c>
      <c r="F28" s="159"/>
      <c r="G28" s="160" t="s">
        <v>234</v>
      </c>
      <c r="H28" s="165">
        <v>1930</v>
      </c>
      <c r="I28" s="165">
        <v>3271</v>
      </c>
      <c r="J28" s="162">
        <f t="shared" ref="J28:J33" si="1">IFERROR(I28/H28-1,0)</f>
      </c>
      <c r="K28" s="162">
        <f t="shared" ref="K28:K33" si="22">$D$29+0.3*(J28-$D$29)</f>
      </c>
      <c r="L28" s="159"/>
      <c r="M28" s="159"/>
      <c r="N28" s="159"/>
      <c r="O28" s="159"/>
    </row>
    <row customHeight="true" ht="13" r="29">
      <c r="A29" s="155" t="s">
        <v>230</v>
      </c>
      <c r="B29" s="156" t="s">
        <v>237</v>
      </c>
      <c r="C29" s="157">
        <v>128606</v>
      </c>
      <c r="D29" s="158">
        <v>0.392337090086286</v>
      </c>
      <c r="E29" s="159" t="s">
        <v>259</v>
      </c>
      <c r="F29" s="159"/>
      <c r="G29" s="160" t="s">
        <v>236</v>
      </c>
      <c r="H29" s="165">
        <v>3132</v>
      </c>
      <c r="I29" s="165">
        <v>3985</v>
      </c>
      <c r="J29" s="162">
        <f t="shared" si="1"/>
      </c>
      <c r="K29" s="162">
        <f t="shared" si="22"/>
      </c>
      <c r="L29" s="159"/>
      <c r="M29" s="159"/>
      <c r="N29" s="159"/>
      <c r="O29" s="159"/>
    </row>
    <row customHeight="true" ht="13" r="30">
      <c r="A30" s="159"/>
      <c r="B30" s="156"/>
      <c r="C30" s="159"/>
      <c r="D30" s="156"/>
      <c r="E30" s="159"/>
      <c r="F30" s="159"/>
      <c r="G30" s="160" t="s">
        <v>238</v>
      </c>
      <c r="H30" s="165">
        <v>7295</v>
      </c>
      <c r="I30" s="165">
        <v>8218</v>
      </c>
      <c r="J30" s="162">
        <f t="shared" si="1"/>
      </c>
      <c r="K30" s="162">
        <f t="shared" si="22"/>
      </c>
      <c r="L30" s="159"/>
      <c r="M30" s="159"/>
      <c r="N30" s="159"/>
      <c r="O30" s="159"/>
    </row>
    <row customHeight="true" ht="13" r="31">
      <c r="A31" s="159"/>
      <c r="B31" s="156"/>
      <c r="C31" s="159"/>
      <c r="D31" s="156"/>
      <c r="E31" s="159"/>
      <c r="F31" s="159"/>
      <c r="G31" s="160" t="s">
        <v>239</v>
      </c>
      <c r="H31" s="165">
        <v>18925</v>
      </c>
      <c r="I31" s="165">
        <v>18967</v>
      </c>
      <c r="J31" s="162">
        <f t="shared" si="1"/>
      </c>
      <c r="K31" s="162">
        <f t="shared" si="22"/>
      </c>
      <c r="L31" s="159"/>
      <c r="M31" s="159"/>
      <c r="N31" s="159"/>
      <c r="O31" s="159"/>
    </row>
    <row customHeight="true" ht="13" r="32">
      <c r="A32" s="159"/>
      <c r="B32" s="156"/>
      <c r="C32" s="159"/>
      <c r="D32" s="156"/>
      <c r="E32" s="159"/>
      <c r="F32" s="159"/>
      <c r="G32" s="160" t="s">
        <v>240</v>
      </c>
      <c r="H32" s="165">
        <v>31783</v>
      </c>
      <c r="I32" s="165">
        <v>50159</v>
      </c>
      <c r="J32" s="162">
        <f t="shared" si="1"/>
      </c>
      <c r="K32" s="162">
        <f t="shared" si="22"/>
      </c>
      <c r="L32" s="159"/>
      <c r="M32" s="159"/>
      <c r="N32" s="159"/>
      <c r="O32" s="159"/>
      <c r="T32">
        <f t="shared" ref="T32:T34" si="18">SUM(O38:T38)</f>
      </c>
    </row>
    <row customHeight="true" ht="13" r="33">
      <c r="A33" s="159"/>
      <c r="B33" s="156"/>
      <c r="C33" s="159"/>
      <c r="D33" s="156"/>
      <c r="E33" s="159"/>
      <c r="F33" s="159"/>
      <c r="G33" s="160" t="s">
        <v>241</v>
      </c>
      <c r="H33" s="165">
        <v>29302</v>
      </c>
      <c r="I33" s="165">
        <v>44006</v>
      </c>
      <c r="J33" s="162">
        <f t="shared" si="1"/>
      </c>
      <c r="K33" s="162">
        <f t="shared" si="22"/>
      </c>
      <c r="L33" s="159"/>
      <c r="M33" s="159"/>
      <c r="N33" s="159"/>
      <c r="O33" s="159"/>
      <c r="T33">
        <f t="shared" si="18"/>
      </c>
      <c r="U33" s="166">
        <f t="shared" ref="U33:U34" si="23">(T33-T32)/T32</f>
      </c>
    </row>
    <row customHeight="true" ht="13" r="34">
      <c r="A34" s="159"/>
      <c r="B34" s="156"/>
      <c r="C34" s="159"/>
      <c r="D34" s="156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T34">
        <f t="shared" si="18"/>
      </c>
      <c r="U34" s="166">
        <f t="shared" si="23"/>
      </c>
    </row>
    <row customHeight="true" ht="13" r="35">
      <c r="A35" s="150" t="s">
        <v>242</v>
      </c>
      <c r="B35" s="151"/>
      <c r="C35" s="150"/>
      <c r="D35" s="151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</row>
    <row customHeight="true" ht="26" r="36">
      <c r="A36" s="153" t="s">
        <v>220</v>
      </c>
      <c r="B36" s="153" t="s">
        <v>243</v>
      </c>
      <c r="C36" s="153" t="s">
        <v>244</v>
      </c>
      <c r="D36" s="153" t="s">
        <v>245</v>
      </c>
      <c r="E36" s="153" t="s">
        <v>246</v>
      </c>
      <c r="F36" s="153" t="s">
        <v>247</v>
      </c>
      <c r="G36" s="153" t="s">
        <v>248</v>
      </c>
      <c r="H36" s="153" t="s">
        <v>249</v>
      </c>
      <c r="I36" s="153" t="s">
        <v>250</v>
      </c>
      <c r="J36" s="153" t="s">
        <v>251</v>
      </c>
      <c r="K36" s="153" t="s">
        <v>252</v>
      </c>
      <c r="L36" s="153" t="s">
        <v>253</v>
      </c>
      <c r="M36" s="153" t="s">
        <v>254</v>
      </c>
      <c r="N36" s="153" t="s">
        <v>255</v>
      </c>
      <c r="O36" s="153" t="s">
        <v>244</v>
      </c>
      <c r="P36" s="153" t="s">
        <v>245</v>
      </c>
      <c r="Q36" s="153" t="s">
        <v>246</v>
      </c>
      <c r="R36" s="153" t="s">
        <v>247</v>
      </c>
      <c r="S36" s="153" t="s">
        <v>248</v>
      </c>
      <c r="T36" s="153" t="s">
        <v>249</v>
      </c>
      <c r="U36" s="153" t="s">
        <v>250</v>
      </c>
      <c r="V36" s="153" t="s">
        <v>251</v>
      </c>
      <c r="W36" s="153" t="s">
        <v>252</v>
      </c>
      <c r="X36" s="153" t="s">
        <v>253</v>
      </c>
      <c r="Y36" s="153" t="s">
        <v>254</v>
      </c>
      <c r="Z36" s="153" t="s">
        <v>255</v>
      </c>
      <c r="AA36" s="153" t="s">
        <v>224</v>
      </c>
    </row>
    <row customHeight="true" ht="35" r="37">
      <c r="A37" s="155" t="s">
        <v>230</v>
      </c>
      <c r="B37" s="156" t="s">
        <v>256</v>
      </c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65"/>
      <c r="P37" s="165"/>
      <c r="Q37" s="165"/>
      <c r="R37" s="165"/>
      <c r="S37" s="165"/>
      <c r="T37" s="165"/>
      <c r="U37" s="165">
        <v>2256</v>
      </c>
      <c r="V37" s="165">
        <v>3863</v>
      </c>
      <c r="W37" s="165">
        <v>2413</v>
      </c>
      <c r="X37" s="165">
        <v>1076</v>
      </c>
      <c r="Y37" s="165">
        <v>578</v>
      </c>
      <c r="Z37" s="165">
        <v>633</v>
      </c>
      <c r="AA37" s="159" t="s">
        <v>260</v>
      </c>
    </row>
    <row customHeight="true" ht="26" r="38">
      <c r="A38" s="155" t="s">
        <v>230</v>
      </c>
      <c r="B38" s="156" t="s">
        <v>231</v>
      </c>
      <c r="C38" s="164">
        <f t="shared" ref="C38:C40" si="21">(O38-Z37)/Z37</f>
      </c>
      <c r="D38" s="164">
        <f t="shared" ref="D38:D40" si="3">(P38-O38)/O38</f>
      </c>
      <c r="E38" s="164">
        <f t="shared" ref="E38:E40" si="5">(Q38-P38)/P38</f>
      </c>
      <c r="F38" s="164">
        <f t="shared" ref="F38:F40" si="7">(R38-Q38)/Q38</f>
      </c>
      <c r="G38" s="164">
        <f t="shared" ref="G38:G40" si="9">(S38-R38)/R38</f>
      </c>
      <c r="H38" s="164">
        <f t="shared" ref="H38:H40" si="11">(T38-S38)/S38</f>
      </c>
      <c r="I38" s="164">
        <f t="shared" ref="I38:I39" si="12">(U38-T38)/T38</f>
      </c>
      <c r="J38" s="164">
        <f t="shared" ref="J38:J39" si="13">(V38-U38)/U38</f>
      </c>
      <c r="K38" s="164">
        <f t="shared" ref="K38:K39" si="14">(W38-V38)/V38</f>
      </c>
      <c r="L38" s="164">
        <f t="shared" ref="L38:L39" si="15">(X38-W38)/W38</f>
      </c>
      <c r="M38" s="164">
        <f t="shared" ref="M38:M39" si="16">(Y38-X38)/X38</f>
      </c>
      <c r="N38" s="164">
        <f t="shared" ref="N38:N39" si="17">(Z38-Y38)/Y38</f>
      </c>
      <c r="O38" s="165">
        <v>383</v>
      </c>
      <c r="P38" s="165">
        <v>751</v>
      </c>
      <c r="Q38" s="165">
        <v>1766</v>
      </c>
      <c r="R38" s="165">
        <v>7129</v>
      </c>
      <c r="S38" s="165">
        <v>13704</v>
      </c>
      <c r="T38" s="165">
        <v>17270</v>
      </c>
      <c r="U38" s="165">
        <v>15638</v>
      </c>
      <c r="V38" s="165">
        <v>10297</v>
      </c>
      <c r="W38" s="165">
        <v>6374</v>
      </c>
      <c r="X38" s="165">
        <v>3959</v>
      </c>
      <c r="Y38" s="165">
        <v>2999</v>
      </c>
      <c r="Z38" s="165">
        <v>1727</v>
      </c>
      <c r="AA38" s="159" t="s">
        <v>260</v>
      </c>
    </row>
    <row customHeight="true" ht="26" r="39">
      <c r="A39" s="155" t="s">
        <v>230</v>
      </c>
      <c r="B39" s="156" t="s">
        <v>235</v>
      </c>
      <c r="C39" s="164">
        <f t="shared" si="21"/>
      </c>
      <c r="D39" s="164">
        <f t="shared" si="3"/>
      </c>
      <c r="E39" s="164">
        <f t="shared" si="5"/>
      </c>
      <c r="F39" s="164">
        <f t="shared" si="7"/>
      </c>
      <c r="G39" s="164">
        <f t="shared" si="9"/>
      </c>
      <c r="H39" s="164">
        <f t="shared" si="11"/>
      </c>
      <c r="I39" s="164">
        <f t="shared" si="12"/>
      </c>
      <c r="J39" s="164">
        <f t="shared" si="13"/>
      </c>
      <c r="K39" s="164">
        <f t="shared" si="14"/>
      </c>
      <c r="L39" s="164">
        <f t="shared" si="15"/>
      </c>
      <c r="M39" s="164">
        <f t="shared" si="16"/>
      </c>
      <c r="N39" s="164">
        <f t="shared" si="17"/>
      </c>
      <c r="O39" s="165">
        <v>1930</v>
      </c>
      <c r="P39" s="165">
        <v>3132</v>
      </c>
      <c r="Q39" s="165">
        <v>7295</v>
      </c>
      <c r="R39" s="165">
        <v>18925</v>
      </c>
      <c r="S39" s="165">
        <v>31783</v>
      </c>
      <c r="T39" s="165">
        <v>29302</v>
      </c>
      <c r="U39" s="165">
        <v>30274</v>
      </c>
      <c r="V39" s="165">
        <v>20732</v>
      </c>
      <c r="W39" s="165">
        <v>20844</v>
      </c>
      <c r="X39" s="165">
        <v>8656</v>
      </c>
      <c r="Y39" s="165">
        <v>5725</v>
      </c>
      <c r="Z39" s="165">
        <v>3917</v>
      </c>
      <c r="AA39" s="159" t="s">
        <v>260</v>
      </c>
    </row>
    <row customHeight="true" ht="26" r="40">
      <c r="A40" s="155" t="s">
        <v>230</v>
      </c>
      <c r="B40" s="156" t="s">
        <v>257</v>
      </c>
      <c r="C40" s="164">
        <f t="shared" si="21"/>
      </c>
      <c r="D40" s="164">
        <f t="shared" si="3"/>
      </c>
      <c r="E40" s="164">
        <f t="shared" si="5"/>
      </c>
      <c r="F40" s="164">
        <f t="shared" si="7"/>
      </c>
      <c r="G40" s="164">
        <f t="shared" si="9"/>
      </c>
      <c r="H40" s="164">
        <f t="shared" si="11"/>
      </c>
      <c r="I40" s="164"/>
      <c r="J40" s="156"/>
      <c r="K40" s="156"/>
      <c r="L40" s="156"/>
      <c r="M40" s="156"/>
      <c r="N40" s="156"/>
      <c r="O40" s="165">
        <v>3271</v>
      </c>
      <c r="P40" s="165">
        <v>3985</v>
      </c>
      <c r="Q40" s="165">
        <v>8218</v>
      </c>
      <c r="R40" s="165">
        <v>18967</v>
      </c>
      <c r="S40" s="165">
        <v>50159</v>
      </c>
      <c r="T40" s="165">
        <v>44006</v>
      </c>
      <c r="U40" s="157"/>
      <c r="V40" s="157"/>
      <c r="W40" s="157"/>
      <c r="X40" s="157"/>
      <c r="Y40" s="157"/>
      <c r="Z40" s="157"/>
      <c r="AA40" s="159" t="s">
        <v>260</v>
      </c>
    </row>
    <row r="41">
      <c r="B41" s="149"/>
      <c r="D41" s="149"/>
    </row>
    <row r="42">
      <c r="B42" s="149"/>
      <c r="D42" s="149"/>
    </row>
    <row r="43">
      <c r="B43" s="149"/>
      <c r="D43" s="149"/>
    </row>
    <row r="44">
      <c r="B44" s="149"/>
      <c r="D44" s="149"/>
    </row>
    <row r="45">
      <c r="B45" s="149"/>
      <c r="D45" s="149"/>
    </row>
    <row r="46">
      <c r="B46" s="149"/>
      <c r="D46" s="149"/>
    </row>
    <row r="47">
      <c r="B47" s="149"/>
      <c r="D47" s="149"/>
    </row>
    <row r="48">
      <c r="B48" s="149"/>
      <c r="D48" s="149"/>
    </row>
    <row r="49">
      <c r="B49" s="149"/>
      <c r="D49" s="149"/>
    </row>
    <row r="50">
      <c r="B50" s="149"/>
      <c r="D50" s="149"/>
    </row>
    <row r="51">
      <c r="B51" s="149"/>
      <c r="D51" s="149"/>
    </row>
    <row r="52">
      <c r="B52" s="149"/>
      <c r="D52" s="149"/>
    </row>
    <row r="53">
      <c r="B53" s="149"/>
      <c r="D53" s="149"/>
    </row>
    <row r="54">
      <c r="B54" s="149"/>
      <c r="D54" s="149"/>
    </row>
    <row r="55">
      <c r="B55" s="149"/>
      <c r="D55" s="149"/>
    </row>
    <row r="56">
      <c r="B56" s="149"/>
      <c r="D56" s="149"/>
    </row>
    <row r="57">
      <c r="B57" s="149"/>
      <c r="D57" s="149"/>
    </row>
    <row r="58">
      <c r="B58" s="149"/>
      <c r="D58" s="149"/>
    </row>
    <row r="59">
      <c r="B59" s="149"/>
      <c r="D59" s="149"/>
    </row>
    <row r="60">
      <c r="B60" s="149"/>
      <c r="D60" s="149"/>
    </row>
    <row r="61">
      <c r="B61" s="149"/>
      <c r="D61" s="149"/>
    </row>
    <row r="62">
      <c r="B62" s="149"/>
      <c r="D62" s="149"/>
    </row>
    <row r="63">
      <c r="B63" s="149"/>
      <c r="D63" s="149"/>
    </row>
    <row r="64">
      <c r="B64" s="149"/>
      <c r="D64" s="149"/>
    </row>
    <row r="65">
      <c r="B65" s="149"/>
      <c r="D65" s="149"/>
    </row>
    <row r="66">
      <c r="B66" s="149"/>
      <c r="D66" s="149"/>
    </row>
    <row r="67">
      <c r="B67" s="149"/>
      <c r="D67" s="149"/>
    </row>
    <row r="68">
      <c r="B68" s="149"/>
      <c r="D68" s="149"/>
    </row>
    <row r="69">
      <c r="B69" s="149"/>
      <c r="D69" s="149"/>
    </row>
    <row r="70">
      <c r="B70" s="149"/>
      <c r="D70" s="149"/>
    </row>
    <row r="71">
      <c r="B71" s="149"/>
      <c r="D71" s="149"/>
    </row>
    <row r="72">
      <c r="B72" s="149"/>
      <c r="D72" s="149"/>
    </row>
    <row r="73">
      <c r="B73" s="149"/>
      <c r="D73" s="149"/>
    </row>
    <row r="74">
      <c r="B74" s="149"/>
      <c r="D74" s="149"/>
    </row>
    <row r="75">
      <c r="B75" s="149"/>
      <c r="D75" s="149"/>
    </row>
    <row r="76">
      <c r="B76" s="149"/>
      <c r="D76" s="149"/>
    </row>
    <row r="77">
      <c r="B77" s="149"/>
      <c r="D77" s="149"/>
    </row>
    <row r="78">
      <c r="B78" s="149"/>
      <c r="D78" s="149"/>
    </row>
    <row r="79">
      <c r="B79" s="149"/>
      <c r="D79" s="149"/>
    </row>
    <row r="80">
      <c r="B80" s="149"/>
      <c r="D80" s="149"/>
    </row>
    <row r="81">
      <c r="B81" s="149"/>
      <c r="D81" s="149"/>
    </row>
    <row r="82">
      <c r="B82" s="149"/>
      <c r="D82" s="149"/>
    </row>
    <row r="83">
      <c r="B83" s="149"/>
      <c r="D83" s="149"/>
    </row>
    <row r="84">
      <c r="B84" s="149"/>
      <c r="D84" s="149"/>
    </row>
    <row r="85">
      <c r="B85" s="149"/>
      <c r="D85" s="149"/>
    </row>
    <row r="86">
      <c r="B86" s="149"/>
      <c r="D86" s="149"/>
    </row>
    <row r="87">
      <c r="B87" s="149"/>
      <c r="D87" s="149"/>
    </row>
    <row r="88">
      <c r="B88" s="149"/>
      <c r="D88" s="149"/>
    </row>
    <row r="89">
      <c r="B89" s="149"/>
      <c r="D89" s="149"/>
    </row>
    <row r="90">
      <c r="B90" s="149"/>
      <c r="D90" s="149"/>
    </row>
    <row r="91">
      <c r="B91" s="149"/>
      <c r="D91" s="149"/>
    </row>
    <row r="92">
      <c r="B92" s="149"/>
      <c r="D92" s="149"/>
    </row>
    <row r="93">
      <c r="B93" s="149"/>
      <c r="D93" s="149"/>
    </row>
    <row r="94">
      <c r="B94" s="149"/>
      <c r="D94" s="149"/>
    </row>
    <row r="95">
      <c r="B95" s="149"/>
      <c r="D95" s="149"/>
    </row>
    <row r="96">
      <c r="B96" s="149"/>
      <c r="D96" s="149"/>
    </row>
    <row r="97">
      <c r="B97" s="149"/>
      <c r="D97" s="149"/>
    </row>
    <row r="98">
      <c r="B98" s="149"/>
      <c r="D98" s="149"/>
    </row>
    <row r="99">
      <c r="B99" s="149"/>
      <c r="D99" s="149"/>
    </row>
    <row r="100">
      <c r="B100" s="149"/>
      <c r="D100" s="149"/>
    </row>
    <row r="101">
      <c r="B101" s="149"/>
      <c r="D101" s="149"/>
    </row>
    <row r="102">
      <c r="B102" s="149"/>
      <c r="D102" s="149"/>
    </row>
    <row r="103">
      <c r="B103" s="149"/>
      <c r="D103" s="149"/>
    </row>
    <row r="104">
      <c r="B104" s="149"/>
      <c r="D104" s="149"/>
    </row>
    <row r="105">
      <c r="B105" s="149"/>
      <c r="D105" s="149"/>
    </row>
    <row r="106">
      <c r="B106" s="149"/>
      <c r="D106" s="149"/>
    </row>
    <row r="107">
      <c r="B107" s="149"/>
      <c r="D107" s="149"/>
    </row>
    <row r="108">
      <c r="B108" s="149"/>
      <c r="D108" s="149"/>
    </row>
    <row r="109">
      <c r="B109" s="149"/>
      <c r="D109" s="149"/>
    </row>
    <row r="110">
      <c r="B110" s="149"/>
      <c r="D110" s="149"/>
    </row>
    <row r="111">
      <c r="B111" s="149"/>
      <c r="D111" s="149"/>
    </row>
    <row r="112">
      <c r="B112" s="149"/>
      <c r="D112" s="149"/>
    </row>
    <row r="113">
      <c r="B113" s="149"/>
      <c r="D113" s="149"/>
    </row>
    <row r="114">
      <c r="B114" s="149"/>
      <c r="D114" s="149"/>
    </row>
    <row r="115">
      <c r="B115" s="149"/>
      <c r="D115" s="149"/>
    </row>
    <row r="116">
      <c r="B116" s="149"/>
      <c r="D116" s="149"/>
    </row>
    <row r="117">
      <c r="B117" s="149"/>
      <c r="D117" s="149"/>
    </row>
    <row r="118">
      <c r="B118" s="149"/>
      <c r="D118" s="149"/>
    </row>
    <row r="119">
      <c r="B119" s="149"/>
      <c r="D119" s="149"/>
    </row>
    <row r="120">
      <c r="B120" s="149"/>
      <c r="D120" s="149"/>
    </row>
    <row r="121">
      <c r="B121" s="149"/>
      <c r="D121" s="149"/>
    </row>
    <row r="122">
      <c r="B122" s="149"/>
      <c r="D122" s="149"/>
    </row>
    <row r="123">
      <c r="B123" s="149"/>
      <c r="D123" s="149"/>
    </row>
    <row r="124">
      <c r="B124" s="149"/>
      <c r="D124" s="149"/>
    </row>
    <row r="125">
      <c r="B125" s="149"/>
      <c r="D125" s="149"/>
    </row>
    <row r="126">
      <c r="B126" s="149"/>
      <c r="D126" s="149"/>
    </row>
    <row r="127">
      <c r="B127" s="149"/>
      <c r="D127" s="149"/>
    </row>
    <row r="128">
      <c r="B128" s="149"/>
      <c r="D128" s="149"/>
    </row>
    <row r="129">
      <c r="B129" s="149"/>
      <c r="D129" s="149"/>
    </row>
    <row r="130">
      <c r="B130" s="149"/>
      <c r="D130" s="149"/>
    </row>
    <row r="131">
      <c r="B131" s="149"/>
      <c r="D131" s="149"/>
    </row>
    <row r="132">
      <c r="B132" s="149"/>
      <c r="D132" s="149"/>
    </row>
    <row r="133">
      <c r="B133" s="149"/>
      <c r="D133" s="149"/>
    </row>
    <row r="134">
      <c r="B134" s="149"/>
      <c r="D134" s="149"/>
    </row>
    <row r="135">
      <c r="B135" s="149"/>
      <c r="D135" s="149"/>
    </row>
    <row r="136">
      <c r="B136" s="149"/>
      <c r="D136" s="149"/>
    </row>
    <row r="137">
      <c r="B137" s="149"/>
      <c r="D137" s="149"/>
    </row>
    <row r="138">
      <c r="B138" s="149"/>
      <c r="D138" s="149"/>
    </row>
    <row r="139">
      <c r="B139" s="149"/>
      <c r="D139" s="149"/>
    </row>
    <row r="140">
      <c r="B140" s="149"/>
      <c r="D140" s="149"/>
    </row>
    <row r="141">
      <c r="B141" s="149"/>
      <c r="D141" s="149"/>
    </row>
    <row r="142">
      <c r="B142" s="149"/>
      <c r="D142" s="149"/>
    </row>
    <row r="143">
      <c r="B143" s="149"/>
      <c r="D143" s="149"/>
    </row>
    <row r="144">
      <c r="B144" s="149"/>
      <c r="D144" s="149"/>
    </row>
    <row r="145">
      <c r="B145" s="149"/>
      <c r="D145" s="149"/>
    </row>
    <row r="146">
      <c r="B146" s="149"/>
      <c r="D146" s="149"/>
    </row>
    <row r="147">
      <c r="B147" s="149"/>
      <c r="D147" s="149"/>
    </row>
    <row r="148">
      <c r="B148" s="149"/>
      <c r="D148" s="149"/>
    </row>
    <row r="149">
      <c r="B149" s="149"/>
      <c r="D149" s="149"/>
    </row>
    <row r="150">
      <c r="B150" s="149"/>
      <c r="D150" s="149"/>
    </row>
    <row r="151">
      <c r="B151" s="149"/>
      <c r="D151" s="149"/>
    </row>
    <row r="152">
      <c r="B152" s="149"/>
      <c r="D152" s="149"/>
    </row>
    <row r="153">
      <c r="B153" s="149"/>
      <c r="D153" s="149"/>
    </row>
    <row r="154">
      <c r="B154" s="149"/>
      <c r="D154" s="149"/>
    </row>
    <row r="155">
      <c r="B155" s="149"/>
      <c r="D155" s="149"/>
    </row>
    <row r="156">
      <c r="B156" s="149"/>
      <c r="D156" s="149"/>
    </row>
    <row r="157">
      <c r="B157" s="149"/>
      <c r="D157" s="149"/>
    </row>
    <row r="158">
      <c r="B158" s="149"/>
      <c r="D158" s="149"/>
    </row>
    <row r="159">
      <c r="B159" s="149"/>
      <c r="D159" s="149"/>
    </row>
    <row r="160">
      <c r="B160" s="149"/>
      <c r="D160" s="149"/>
    </row>
    <row r="161">
      <c r="B161" s="149"/>
      <c r="D161" s="149"/>
    </row>
    <row r="162">
      <c r="B162" s="149"/>
      <c r="D162" s="149"/>
    </row>
    <row r="163">
      <c r="B163" s="149"/>
      <c r="D163" s="149"/>
    </row>
    <row r="164">
      <c r="B164" s="149"/>
      <c r="D164" s="149"/>
    </row>
    <row r="165">
      <c r="B165" s="149"/>
      <c r="D165" s="149"/>
    </row>
    <row r="166">
      <c r="B166" s="149"/>
      <c r="D166" s="149"/>
    </row>
    <row r="167">
      <c r="B167" s="149"/>
      <c r="D167" s="149"/>
    </row>
    <row r="168">
      <c r="B168" s="149"/>
      <c r="D168" s="149"/>
    </row>
    <row r="169">
      <c r="B169" s="149"/>
      <c r="D169" s="149"/>
    </row>
    <row r="170">
      <c r="B170" s="149"/>
      <c r="D170" s="149"/>
    </row>
    <row r="171">
      <c r="B171" s="149"/>
      <c r="D171" s="149"/>
    </row>
    <row r="172">
      <c r="B172" s="149"/>
      <c r="D172" s="149"/>
    </row>
    <row r="173">
      <c r="B173" s="149"/>
      <c r="D173" s="149"/>
    </row>
    <row r="174">
      <c r="B174" s="149"/>
      <c r="D174" s="149"/>
    </row>
    <row r="175">
      <c r="B175" s="149"/>
      <c r="D175" s="149"/>
    </row>
    <row r="176">
      <c r="B176" s="149"/>
      <c r="D176" s="149"/>
    </row>
    <row r="177">
      <c r="B177" s="149"/>
      <c r="D177" s="149"/>
    </row>
    <row r="178">
      <c r="B178" s="149"/>
      <c r="D178" s="149"/>
    </row>
    <row r="179">
      <c r="B179" s="149"/>
      <c r="D179" s="149"/>
    </row>
    <row r="180">
      <c r="B180" s="149"/>
      <c r="D180" s="149"/>
    </row>
    <row r="181">
      <c r="B181" s="149"/>
      <c r="D181" s="149"/>
    </row>
    <row r="182">
      <c r="B182" s="149"/>
      <c r="D182" s="149"/>
    </row>
    <row r="183">
      <c r="B183" s="149"/>
      <c r="D183" s="149"/>
    </row>
    <row r="184">
      <c r="B184" s="149"/>
      <c r="D184" s="149"/>
    </row>
    <row r="185">
      <c r="B185" s="149"/>
      <c r="D185" s="149"/>
    </row>
    <row r="186">
      <c r="B186" s="149"/>
      <c r="D186" s="149"/>
    </row>
    <row r="187">
      <c r="B187" s="149"/>
      <c r="D187" s="149"/>
    </row>
    <row r="188">
      <c r="B188" s="149"/>
      <c r="D188" s="149"/>
    </row>
    <row r="189">
      <c r="B189" s="149"/>
      <c r="D189" s="149"/>
    </row>
    <row r="190">
      <c r="B190" s="149"/>
      <c r="D190" s="149"/>
    </row>
    <row r="191">
      <c r="B191" s="149"/>
      <c r="D191" s="149"/>
    </row>
    <row r="192">
      <c r="B192" s="149"/>
      <c r="D192" s="149"/>
    </row>
    <row r="193">
      <c r="B193" s="149"/>
      <c r="D193" s="149"/>
    </row>
    <row r="194">
      <c r="B194" s="149"/>
      <c r="D194" s="149"/>
    </row>
    <row r="195">
      <c r="B195" s="149"/>
      <c r="D195" s="149"/>
    </row>
    <row r="196">
      <c r="B196" s="149"/>
      <c r="D196" s="149"/>
    </row>
    <row r="197">
      <c r="B197" s="149"/>
      <c r="D197" s="149"/>
    </row>
    <row r="198">
      <c r="B198" s="149"/>
      <c r="D198" s="149"/>
    </row>
    <row r="199">
      <c r="B199" s="149"/>
      <c r="D199" s="149"/>
    </row>
    <row r="200">
      <c r="B200" s="149"/>
      <c r="D200" s="149"/>
    </row>
  </sheetData>
  <mergeCells>
    <mergeCell ref="G2:K2"/>
    <mergeCell ref="G26:K26"/>
  </mergeCells>
  <pageMargins bottom="1" footer="0.5" header="0.5" left="0.75" right="0.75" top="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A5A5A5"/>
    <outlinePr summaryBelow="false" summaryRight="false"/>
  </sheetPr>
  <dimension ref="A1"/>
  <sheetViews>
    <sheetView showGridLines="false" workbookViewId="0"/>
  </sheetViews>
  <sheetFormatPr defaultColWidth="8" defaultRowHeight="16"/>
  <cols>
    <col collapsed="false" customWidth="true" hidden="false" max="3" min="3" style="0" width="16"/>
    <col collapsed="false" customWidth="true" hidden="false" max="7" min="7" style="0" width="11"/>
    <col collapsed="false" customWidth="true" hidden="false" max="11" min="11" style="0" width="11"/>
    <col collapsed="false" customWidth="true" hidden="false" max="15" min="15" style="0" width="11"/>
    <col collapsed="false" customWidth="true" hidden="false" max="19" min="19" style="0" width="11"/>
    <col collapsed="false" customWidth="true" hidden="false" max="4" min="4" style="0" width="11"/>
    <col collapsed="false" customWidth="true" hidden="false" max="8" min="8" style="0" width="11"/>
    <col collapsed="false" customWidth="true" hidden="false" max="12" min="12" style="0" width="11"/>
    <col collapsed="false" customWidth="true" hidden="false" max="16" min="16" style="0" width="11"/>
    <col collapsed="false" customWidth="true" hidden="false" max="20" min="20" style="0" width="11"/>
    <col collapsed="false" customWidth="true" hidden="false" max="1" min="1" style="0" width="21"/>
    <col collapsed="false" customWidth="true" hidden="false" max="5" min="5" style="0" width="11"/>
    <col collapsed="false" customWidth="true" hidden="false" max="9" min="9" style="0" width="11"/>
    <col collapsed="false" customWidth="true" hidden="false" max="13" min="13" style="0" width="11"/>
    <col collapsed="false" customWidth="true" hidden="false" max="17" min="17" style="0" width="11"/>
    <col collapsed="false" customWidth="true" hidden="false" max="21" min="21" style="0" width="11"/>
    <col collapsed="false" customWidth="true" hidden="false" max="2" min="2" style="0" width="21"/>
    <col collapsed="false" customWidth="true" hidden="false" max="6" min="6" style="0" width="11"/>
    <col collapsed="false" customWidth="true" hidden="false" max="10" min="10" style="0" width="11"/>
    <col collapsed="false" customWidth="true" hidden="false" max="14" min="14" style="0" width="11"/>
    <col collapsed="false" customWidth="true" hidden="false" max="18" min="18" style="0" width="11"/>
    <col collapsed="false" customWidth="true" hidden="false" max="22" min="22" style="0" width="12"/>
  </cols>
  <sheetData>
    <row customHeight="true" ht="20" r="1">
      <c r="A1" s="167" t="s">
        <v>261</v>
      </c>
      <c r="B1" s="167" t="s">
        <v>262</v>
      </c>
      <c r="C1" s="167" t="s">
        <v>263</v>
      </c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 t="s">
        <v>264</v>
      </c>
      <c r="V1" s="167" t="s">
        <v>265</v>
      </c>
    </row>
    <row customHeight="true" ht="20" r="2">
      <c r="A2" s="167"/>
      <c r="B2" s="167"/>
      <c r="C2" s="168" t="s">
        <v>266</v>
      </c>
      <c r="D2" s="168" t="s">
        <v>267</v>
      </c>
      <c r="E2" s="168" t="s">
        <v>268</v>
      </c>
      <c r="F2" s="168" t="s">
        <v>269</v>
      </c>
      <c r="G2" s="168" t="s">
        <v>270</v>
      </c>
      <c r="H2" s="168" t="s">
        <v>271</v>
      </c>
      <c r="I2" s="168" t="s">
        <v>272</v>
      </c>
      <c r="J2" s="168" t="s">
        <v>273</v>
      </c>
      <c r="K2" s="168" t="s">
        <v>274</v>
      </c>
      <c r="L2" s="168" t="s">
        <v>275</v>
      </c>
      <c r="M2" s="168" t="s">
        <v>276</v>
      </c>
      <c r="N2" s="168" t="s">
        <v>277</v>
      </c>
      <c r="O2" s="168" t="s">
        <v>278</v>
      </c>
      <c r="P2" s="168" t="s">
        <v>279</v>
      </c>
      <c r="Q2" s="168" t="s">
        <v>280</v>
      </c>
      <c r="R2" s="168" t="s">
        <v>281</v>
      </c>
      <c r="S2" s="168" t="s">
        <v>282</v>
      </c>
      <c r="T2" s="168" t="s">
        <v>283</v>
      </c>
      <c r="U2" s="167"/>
      <c r="V2" s="167"/>
    </row>
    <row customHeight="true" ht="20" r="3">
      <c r="A3" s="169" t="s">
        <v>284</v>
      </c>
      <c r="B3" s="169">
        <f>'产品基础信息'!E2</f>
      </c>
      <c r="C3" s="170">
        <v>7374</v>
      </c>
      <c r="D3" s="170">
        <v>5828</v>
      </c>
      <c r="E3" s="170">
        <v>5214</v>
      </c>
      <c r="F3" s="170">
        <v>3070</v>
      </c>
      <c r="G3" s="170">
        <v>1035</v>
      </c>
      <c r="H3" s="170">
        <v>517</v>
      </c>
      <c r="I3" s="170">
        <v>240</v>
      </c>
      <c r="J3" s="170">
        <v>355</v>
      </c>
      <c r="K3" s="170">
        <v>474</v>
      </c>
      <c r="L3" s="170">
        <v>1006</v>
      </c>
      <c r="M3" s="170">
        <v>282</v>
      </c>
      <c r="N3" s="170">
        <v>6082</v>
      </c>
      <c r="O3" s="170">
        <v>5625</v>
      </c>
      <c r="P3" s="170">
        <v>5167</v>
      </c>
      <c r="Q3" s="170">
        <v>5210</v>
      </c>
      <c r="R3" s="170">
        <v>889</v>
      </c>
      <c r="S3" s="170">
        <v>791</v>
      </c>
      <c r="T3" s="170">
        <v>449</v>
      </c>
      <c r="U3" s="171">
        <v>26570</v>
      </c>
      <c r="V3" s="171">
        <v>23038</v>
      </c>
    </row>
    <row customHeight="true" ht="20" r="4">
      <c r="A4" s="169" t="s">
        <v>285</v>
      </c>
      <c r="B4" s="169">
        <f>'产品基础信息'!E3</f>
      </c>
      <c r="C4" s="170">
        <v>4845</v>
      </c>
      <c r="D4" s="170">
        <v>3682</v>
      </c>
      <c r="E4" s="170">
        <v>2218</v>
      </c>
      <c r="F4" s="170">
        <v>1322</v>
      </c>
      <c r="G4" s="170">
        <v>974</v>
      </c>
      <c r="H4" s="170">
        <v>905</v>
      </c>
      <c r="I4" s="170">
        <v>733</v>
      </c>
      <c r="J4" s="170">
        <v>1051</v>
      </c>
      <c r="K4" s="170">
        <v>1015</v>
      </c>
      <c r="L4" s="170">
        <v>1232</v>
      </c>
      <c r="M4" s="170">
        <v>1694</v>
      </c>
      <c r="N4" s="170">
        <v>2874</v>
      </c>
      <c r="O4" s="170">
        <v>4573</v>
      </c>
      <c r="P4" s="170">
        <v>4067</v>
      </c>
      <c r="Q4" s="170">
        <v>1808</v>
      </c>
      <c r="R4" s="170">
        <v>1645</v>
      </c>
      <c r="S4" s="170">
        <v>1025</v>
      </c>
      <c r="T4" s="170">
        <v>582</v>
      </c>
      <c r="U4" s="171">
        <v>22299</v>
      </c>
      <c r="V4" s="171">
        <v>13946</v>
      </c>
    </row>
    <row customHeight="true" ht="20" r="5">
      <c r="A5" s="169" t="s">
        <v>286</v>
      </c>
      <c r="B5" s="169">
        <f>'产品基础信息'!E4</f>
      </c>
      <c r="C5" s="170">
        <v>18306</v>
      </c>
      <c r="D5" s="170">
        <v>14886</v>
      </c>
      <c r="E5" s="170">
        <v>13977</v>
      </c>
      <c r="F5" s="170">
        <v>10605</v>
      </c>
      <c r="G5" s="170">
        <v>4137</v>
      </c>
      <c r="H5" s="170">
        <v>3034</v>
      </c>
      <c r="I5" s="170">
        <v>3679</v>
      </c>
      <c r="J5" s="170">
        <v>4587</v>
      </c>
      <c r="K5" s="170">
        <v>6309</v>
      </c>
      <c r="L5" s="170">
        <v>6931</v>
      </c>
      <c r="M5" s="170">
        <v>10999</v>
      </c>
      <c r="N5" s="170">
        <v>11445</v>
      </c>
      <c r="O5" s="170">
        <v>12938</v>
      </c>
      <c r="P5" s="170">
        <v>13977</v>
      </c>
      <c r="Q5" s="170">
        <v>10451</v>
      </c>
      <c r="R5" s="170">
        <v>6229</v>
      </c>
      <c r="S5" s="170">
        <v>3545</v>
      </c>
      <c r="T5" s="170">
        <v>2204</v>
      </c>
      <c r="U5" s="171">
        <v>93294</v>
      </c>
      <c r="V5" s="171">
        <v>64945</v>
      </c>
    </row>
    <row customHeight="true" ht="20" r="6">
      <c r="A6" s="169" t="s">
        <v>287</v>
      </c>
      <c r="B6" s="169">
        <f>'产品基础信息'!E5</f>
      </c>
      <c r="C6" s="170">
        <v>19154</v>
      </c>
      <c r="D6" s="170">
        <v>18960</v>
      </c>
      <c r="E6" s="170">
        <v>5220</v>
      </c>
      <c r="F6" s="170">
        <v>10570</v>
      </c>
      <c r="G6" s="170">
        <v>5805</v>
      </c>
      <c r="H6" s="170">
        <v>3479</v>
      </c>
      <c r="I6" s="170">
        <v>2963</v>
      </c>
      <c r="J6" s="170">
        <v>4674</v>
      </c>
      <c r="K6" s="170">
        <v>6831</v>
      </c>
      <c r="L6" s="170">
        <v>8625</v>
      </c>
      <c r="M6" s="170">
        <v>3</v>
      </c>
      <c r="N6" s="170">
        <v>17933</v>
      </c>
      <c r="O6" s="170">
        <v>8</v>
      </c>
      <c r="P6" s="170">
        <v>18153</v>
      </c>
      <c r="Q6" s="170">
        <v>13987</v>
      </c>
      <c r="R6" s="170">
        <v>10937</v>
      </c>
      <c r="S6" s="170">
        <v>4450</v>
      </c>
      <c r="T6" s="170">
        <v>3915</v>
      </c>
      <c r="U6" s="171">
        <v>92479</v>
      </c>
      <c r="V6" s="171">
        <v>63188</v>
      </c>
    </row>
    <row customHeight="true" ht="20" r="7">
      <c r="A7" s="172" t="s">
        <v>288</v>
      </c>
      <c r="B7" s="169">
        <f>'产品基础信息'!E6</f>
      </c>
      <c r="C7" s="173">
        <v>2210</v>
      </c>
      <c r="D7" s="173">
        <v>3491</v>
      </c>
      <c r="E7" s="173">
        <v>1976</v>
      </c>
      <c r="F7" s="173">
        <v>2316</v>
      </c>
      <c r="G7" s="173">
        <v>827</v>
      </c>
      <c r="H7" s="173">
        <v>432</v>
      </c>
      <c r="I7" s="173">
        <v>518</v>
      </c>
      <c r="J7" s="173">
        <v>623</v>
      </c>
      <c r="K7" s="173">
        <v>711</v>
      </c>
      <c r="L7" s="173">
        <v>947</v>
      </c>
      <c r="M7" s="173">
        <v>1624</v>
      </c>
      <c r="N7" s="173">
        <v>2904</v>
      </c>
      <c r="O7" s="173">
        <v>4190</v>
      </c>
      <c r="P7" s="173">
        <v>4889</v>
      </c>
      <c r="Q7" s="173">
        <v>4274</v>
      </c>
      <c r="R7" s="173">
        <v>3211</v>
      </c>
      <c r="S7" s="173">
        <v>1703</v>
      </c>
      <c r="T7" s="173">
        <v>1056</v>
      </c>
      <c r="U7" s="171">
        <v>26650</v>
      </c>
      <c r="V7" s="171">
        <v>11252</v>
      </c>
    </row>
    <row customHeight="true" ht="20" r="8">
      <c r="A8" s="172" t="s">
        <v>289</v>
      </c>
      <c r="B8" s="169">
        <f>'产品基础信息'!E7</f>
      </c>
      <c r="C8" s="173">
        <v>2210</v>
      </c>
      <c r="D8" s="173">
        <v>3491</v>
      </c>
      <c r="E8" s="173">
        <v>1976</v>
      </c>
      <c r="F8" s="173">
        <v>2316</v>
      </c>
      <c r="G8" s="173">
        <v>827</v>
      </c>
      <c r="H8" s="173">
        <v>432</v>
      </c>
      <c r="I8" s="173">
        <v>518</v>
      </c>
      <c r="J8" s="173">
        <v>623</v>
      </c>
      <c r="K8" s="173">
        <v>711</v>
      </c>
      <c r="L8" s="173">
        <v>947</v>
      </c>
      <c r="M8" s="173">
        <v>1624</v>
      </c>
      <c r="N8" s="173">
        <v>2904</v>
      </c>
      <c r="O8" s="173">
        <v>4190</v>
      </c>
      <c r="P8" s="173">
        <v>4889</v>
      </c>
      <c r="Q8" s="173">
        <v>4274</v>
      </c>
      <c r="R8" s="173">
        <v>3211</v>
      </c>
      <c r="S8" s="173">
        <v>1703</v>
      </c>
      <c r="T8" s="173">
        <v>1056</v>
      </c>
      <c r="U8" s="171">
        <v>26650</v>
      </c>
      <c r="V8" s="171">
        <v>11252</v>
      </c>
    </row>
    <row customHeight="true" ht="20" r="9">
      <c r="A9" s="172" t="s">
        <v>290</v>
      </c>
      <c r="B9" s="169">
        <f>'产品基础信息'!E8</f>
      </c>
      <c r="C9" s="173">
        <v>2210</v>
      </c>
      <c r="D9" s="173">
        <v>3491</v>
      </c>
      <c r="E9" s="173">
        <v>1976</v>
      </c>
      <c r="F9" s="173">
        <v>2316</v>
      </c>
      <c r="G9" s="173">
        <v>827</v>
      </c>
      <c r="H9" s="173">
        <v>432</v>
      </c>
      <c r="I9" s="173">
        <v>518</v>
      </c>
      <c r="J9" s="173">
        <v>623</v>
      </c>
      <c r="K9" s="173" t="s">
        <v>291</v>
      </c>
      <c r="L9" s="173">
        <v>947</v>
      </c>
      <c r="M9" s="173">
        <v>1624</v>
      </c>
      <c r="N9" s="173">
        <v>2904</v>
      </c>
      <c r="O9" s="173">
        <v>4190</v>
      </c>
      <c r="P9" s="173">
        <v>4889</v>
      </c>
      <c r="Q9" s="173">
        <v>4274</v>
      </c>
      <c r="R9" s="173">
        <v>3211</v>
      </c>
      <c r="S9" s="173">
        <v>1703</v>
      </c>
      <c r="T9" s="173">
        <v>1056</v>
      </c>
      <c r="U9" s="171">
        <v>26650</v>
      </c>
      <c r="V9" s="171">
        <v>11252</v>
      </c>
    </row>
    <row customHeight="true" ht="20" r="10">
      <c r="A10" s="169" t="s">
        <v>292</v>
      </c>
      <c r="B10" s="169">
        <f>'产品基础信息'!E9</f>
      </c>
      <c r="C10" s="170">
        <v>2513</v>
      </c>
      <c r="D10" s="170">
        <v>2573</v>
      </c>
      <c r="E10" s="170">
        <v>1818</v>
      </c>
      <c r="F10" s="170">
        <v>1025</v>
      </c>
      <c r="G10" s="170">
        <v>146</v>
      </c>
      <c r="H10" s="170">
        <v>140</v>
      </c>
      <c r="I10" s="170">
        <v>164</v>
      </c>
      <c r="J10" s="170">
        <v>389</v>
      </c>
      <c r="K10" s="170">
        <v>474</v>
      </c>
      <c r="L10" s="170">
        <v>701</v>
      </c>
      <c r="M10" s="170">
        <v>1346</v>
      </c>
      <c r="N10" s="170">
        <v>2120</v>
      </c>
      <c r="O10" s="170">
        <v>3117</v>
      </c>
      <c r="P10" s="170">
        <v>2643</v>
      </c>
      <c r="Q10" s="170">
        <v>2041</v>
      </c>
      <c r="R10" s="170">
        <v>2223</v>
      </c>
      <c r="S10" s="170">
        <v>663</v>
      </c>
      <c r="T10" s="170">
        <v>0</v>
      </c>
      <c r="U10" s="171">
        <v>15881</v>
      </c>
      <c r="V10" s="171">
        <v>8215</v>
      </c>
    </row>
    <row customHeight="true" ht="20" r="11">
      <c r="A11" s="169" t="s">
        <v>293</v>
      </c>
      <c r="B11" s="169">
        <f>'产品基础信息'!E10</f>
      </c>
      <c r="C11" s="170">
        <v>1325</v>
      </c>
      <c r="D11" s="170">
        <v>1561</v>
      </c>
      <c r="E11" s="170">
        <v>1459</v>
      </c>
      <c r="F11" s="170">
        <v>883</v>
      </c>
      <c r="G11" s="170">
        <v>91</v>
      </c>
      <c r="H11" s="170">
        <v>103</v>
      </c>
      <c r="I11" s="170">
        <v>172</v>
      </c>
      <c r="J11" s="170">
        <v>489</v>
      </c>
      <c r="K11" s="170">
        <v>661</v>
      </c>
      <c r="L11" s="170">
        <v>1217</v>
      </c>
      <c r="M11" s="170">
        <v>1603</v>
      </c>
      <c r="N11" s="170">
        <v>1844</v>
      </c>
      <c r="O11" s="170">
        <v>2121</v>
      </c>
      <c r="P11" s="170">
        <v>1961</v>
      </c>
      <c r="Q11" s="170">
        <v>1880</v>
      </c>
      <c r="R11" s="170">
        <v>1054</v>
      </c>
      <c r="S11" s="170">
        <v>405</v>
      </c>
      <c r="T11" s="170">
        <v>290</v>
      </c>
      <c r="U11" s="171">
        <v>13697</v>
      </c>
      <c r="V11" s="171">
        <v>5422</v>
      </c>
    </row>
    <row customHeight="true" ht="20" r="12">
      <c r="A12" s="169" t="s">
        <v>294</v>
      </c>
      <c r="B12" s="169">
        <f>'产品基础信息'!E11</f>
      </c>
      <c r="C12" s="170">
        <v>1598</v>
      </c>
      <c r="D12" s="170">
        <v>2356</v>
      </c>
      <c r="E12" s="170">
        <v>1540</v>
      </c>
      <c r="F12" s="170">
        <v>317</v>
      </c>
      <c r="G12" s="170">
        <v>128</v>
      </c>
      <c r="H12" s="170">
        <v>89</v>
      </c>
      <c r="I12" s="170">
        <v>111</v>
      </c>
      <c r="J12" s="170">
        <v>175</v>
      </c>
      <c r="K12" s="170">
        <v>205</v>
      </c>
      <c r="L12" s="170">
        <v>330</v>
      </c>
      <c r="M12" s="170">
        <v>792</v>
      </c>
      <c r="N12" s="170">
        <v>1266</v>
      </c>
      <c r="O12" s="170">
        <v>1277</v>
      </c>
      <c r="P12" s="170">
        <v>1413</v>
      </c>
      <c r="Q12" s="170">
        <v>1351</v>
      </c>
      <c r="R12" s="170">
        <v>526</v>
      </c>
      <c r="S12" s="170">
        <v>181</v>
      </c>
      <c r="T12" s="170">
        <v>170</v>
      </c>
      <c r="U12" s="171">
        <v>7797</v>
      </c>
      <c r="V12" s="171">
        <v>6028</v>
      </c>
    </row>
    <row customHeight="true" ht="20" r="13">
      <c r="A13" s="169" t="s">
        <v>295</v>
      </c>
      <c r="B13" s="169">
        <f>'产品基础信息'!E12</f>
      </c>
      <c r="C13" s="170">
        <v>2141</v>
      </c>
      <c r="D13" s="170">
        <v>2908</v>
      </c>
      <c r="E13" s="170">
        <v>1281</v>
      </c>
      <c r="F13" s="170">
        <v>501</v>
      </c>
      <c r="G13" s="170">
        <v>146</v>
      </c>
      <c r="H13" s="170">
        <v>166</v>
      </c>
      <c r="I13" s="170">
        <v>317</v>
      </c>
      <c r="J13" s="170">
        <v>377</v>
      </c>
      <c r="K13" s="170">
        <v>364</v>
      </c>
      <c r="L13" s="170">
        <v>576</v>
      </c>
      <c r="M13" s="170">
        <v>917</v>
      </c>
      <c r="N13" s="170">
        <v>1533</v>
      </c>
      <c r="O13" s="170">
        <v>2071</v>
      </c>
      <c r="P13" s="170">
        <v>2716</v>
      </c>
      <c r="Q13" s="170">
        <v>934</v>
      </c>
      <c r="R13" s="170">
        <v>379</v>
      </c>
      <c r="S13" s="170">
        <v>149</v>
      </c>
      <c r="T13" s="170">
        <v>135</v>
      </c>
      <c r="U13" s="171">
        <v>10468</v>
      </c>
      <c r="V13" s="171">
        <v>7143</v>
      </c>
    </row>
    <row customHeight="true" ht="20" r="14">
      <c r="A14" s="169" t="s">
        <v>296</v>
      </c>
      <c r="B14" s="169">
        <f>'产品基础信息'!E13</f>
      </c>
      <c r="C14" s="170">
        <v>639</v>
      </c>
      <c r="D14" s="170">
        <v>801</v>
      </c>
      <c r="E14" s="170">
        <v>316</v>
      </c>
      <c r="F14" s="170">
        <v>61</v>
      </c>
      <c r="G14" s="170">
        <v>46</v>
      </c>
      <c r="H14" s="170">
        <v>41</v>
      </c>
      <c r="I14" s="170">
        <v>96</v>
      </c>
      <c r="J14" s="170">
        <v>107</v>
      </c>
      <c r="K14" s="170">
        <v>86</v>
      </c>
      <c r="L14" s="170">
        <v>111</v>
      </c>
      <c r="M14" s="170">
        <v>154</v>
      </c>
      <c r="N14" s="170">
        <v>426</v>
      </c>
      <c r="O14" s="170">
        <v>738</v>
      </c>
      <c r="P14" s="170">
        <v>790</v>
      </c>
      <c r="Q14" s="170">
        <v>340</v>
      </c>
      <c r="R14" s="170">
        <v>134</v>
      </c>
      <c r="S14" s="170">
        <v>50</v>
      </c>
      <c r="T14" s="170">
        <v>40</v>
      </c>
      <c r="U14" s="171">
        <v>3072</v>
      </c>
      <c r="V14" s="171">
        <v>1904</v>
      </c>
    </row>
    <row customHeight="true" ht="20" r="15">
      <c r="A15" s="169" t="s">
        <v>297</v>
      </c>
      <c r="B15" s="169">
        <f>'产品基础信息'!E14</f>
      </c>
      <c r="C15" s="170">
        <v>993</v>
      </c>
      <c r="D15" s="170">
        <v>1072</v>
      </c>
      <c r="E15" s="170">
        <v>311</v>
      </c>
      <c r="F15" s="170">
        <v>195</v>
      </c>
      <c r="G15" s="170">
        <v>69</v>
      </c>
      <c r="H15" s="170">
        <v>63</v>
      </c>
      <c r="I15" s="170">
        <v>131</v>
      </c>
      <c r="J15" s="170">
        <v>117</v>
      </c>
      <c r="K15" s="170">
        <v>158</v>
      </c>
      <c r="L15" s="170">
        <v>223</v>
      </c>
      <c r="M15" s="170">
        <v>390</v>
      </c>
      <c r="N15" s="170">
        <v>758</v>
      </c>
      <c r="O15" s="170">
        <v>1202</v>
      </c>
      <c r="P15" s="170">
        <v>996</v>
      </c>
      <c r="Q15" s="170">
        <v>482</v>
      </c>
      <c r="R15" s="170">
        <v>142</v>
      </c>
      <c r="S15" s="170">
        <v>66</v>
      </c>
      <c r="T15" s="170">
        <v>78</v>
      </c>
      <c r="U15" s="171">
        <v>4743</v>
      </c>
      <c r="V15" s="171">
        <v>2703</v>
      </c>
    </row>
  </sheetData>
  <mergeCells>
    <mergeCell ref="C1:T1"/>
    <mergeCell ref="A1:A2"/>
    <mergeCell ref="B1:B2"/>
    <mergeCell ref="U1:U2"/>
    <mergeCell ref="V1:V2"/>
  </mergeCells>
  <pageMargins bottom="1" footer="0.5" header="0.5" left="0.75" right="0.75" top="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6"/>
  <cols>
    <col collapsed="false" customWidth="true" hidden="false" max="15" min="15" style="0" width="13"/>
    <col collapsed="false" customWidth="true" hidden="false" max="3" min="3" style="0" width="13"/>
    <col collapsed="false" customWidth="true" hidden="false" max="7" min="7" style="0" width="13"/>
    <col collapsed="false" customWidth="true" hidden="false" max="11" min="11" style="0" width="13"/>
    <col collapsed="false" customWidth="true" hidden="false" max="14" min="14" style="0" width="13"/>
    <col collapsed="false" customWidth="true" hidden="false" max="2" min="2" style="0" width="13"/>
    <col collapsed="false" customWidth="true" hidden="false" max="6" min="6" style="0" width="13"/>
    <col collapsed="false" customWidth="true" hidden="false" max="10" min="10" style="0" width="13"/>
    <col collapsed="false" customWidth="true" hidden="false" max="13" min="13" style="0" width="13"/>
    <col collapsed="false" customWidth="true" hidden="false" max="17" min="17" style="0" width="13"/>
    <col collapsed="false" customWidth="true" hidden="false" max="1" min="1" style="0" width="7"/>
    <col collapsed="false" customWidth="true" hidden="false" max="5" min="5" style="0" width="13"/>
    <col collapsed="false" customWidth="true" hidden="false" max="9" min="9" style="0" width="13"/>
    <col collapsed="false" customWidth="true" hidden="false" max="16" min="16" style="0" width="13"/>
    <col collapsed="false" customWidth="true" hidden="false" max="4" min="4" style="0" width="13"/>
    <col collapsed="false" customWidth="true" hidden="false" max="8" min="8" style="0" width="13"/>
    <col collapsed="false" customWidth="true" hidden="false" max="12" min="12" style="0" width="13"/>
  </cols>
  <sheetData>
    <row customHeight="true" ht="13" r="1">
      <c r="A1" s="174" t="s">
        <v>298</v>
      </c>
      <c r="B1" s="174">
        <v>202501</v>
      </c>
      <c r="C1" s="174">
        <v>202502</v>
      </c>
      <c r="D1" s="174">
        <v>202503</v>
      </c>
      <c r="E1" s="174">
        <v>202504</v>
      </c>
      <c r="F1" s="174">
        <v>202505</v>
      </c>
      <c r="G1" s="174">
        <v>202506</v>
      </c>
      <c r="H1" s="174">
        <v>202507</v>
      </c>
      <c r="I1" s="174">
        <v>202508</v>
      </c>
      <c r="J1" s="174">
        <v>202509</v>
      </c>
      <c r="K1" s="174">
        <v>202510</v>
      </c>
      <c r="L1" s="174">
        <v>202511</v>
      </c>
      <c r="M1" s="174">
        <v>202512</v>
      </c>
      <c r="N1" s="174">
        <v>202601</v>
      </c>
      <c r="O1" s="174">
        <v>202602</v>
      </c>
      <c r="P1" s="174">
        <v>202603</v>
      </c>
      <c r="Q1" s="175" t="s">
        <v>299</v>
      </c>
      <c r="R1" s="174">
        <v>202501</v>
      </c>
      <c r="S1" s="174">
        <v>202502</v>
      </c>
      <c r="T1" s="174">
        <v>202503</v>
      </c>
      <c r="U1" s="174">
        <v>202504</v>
      </c>
      <c r="V1" s="174">
        <v>202505</v>
      </c>
      <c r="W1" s="174">
        <v>202506</v>
      </c>
      <c r="X1" s="174">
        <v>202507</v>
      </c>
      <c r="Y1" s="174">
        <v>202508</v>
      </c>
      <c r="Z1" s="174">
        <v>202509</v>
      </c>
      <c r="AA1" s="174">
        <v>202510</v>
      </c>
      <c r="AB1" s="174">
        <v>202511</v>
      </c>
      <c r="AC1" s="174">
        <v>202512</v>
      </c>
      <c r="AD1" s="174">
        <v>202601</v>
      </c>
      <c r="AE1" s="174">
        <v>202602</v>
      </c>
      <c r="AF1" s="174">
        <v>202603</v>
      </c>
    </row>
    <row customHeight="true" ht="13" r="2">
      <c r="A2" s="174" t="s">
        <v>300</v>
      </c>
      <c r="B2" s="176">
        <f>(R2-Q2)/Q2</f>
      </c>
      <c r="C2" s="176">
        <f>(S2-R2)/R2</f>
      </c>
      <c r="D2" s="176">
        <f>(T2-S2)/S2</f>
      </c>
      <c r="E2" s="176">
        <f>(U2-T2)/T2</f>
      </c>
      <c r="F2" s="176">
        <f>(V2-U2)/U2</f>
      </c>
      <c r="G2" s="176">
        <f>(W2-V2)/V2</f>
      </c>
      <c r="H2" s="176">
        <f>(X2-W2)/W2</f>
      </c>
      <c r="I2" s="176">
        <f>(Y2-X2)/X2</f>
      </c>
      <c r="J2" s="176">
        <f>(Z2-Y2)/Y2</f>
      </c>
      <c r="K2" s="176">
        <f>(AA2-Z2)/Z2</f>
      </c>
      <c r="L2" s="176">
        <f>(AB2-AA2)/AA2</f>
      </c>
      <c r="M2" s="176">
        <f>(AC2-AB2)/AB2</f>
      </c>
      <c r="N2" s="176">
        <f>(AD2-AC2)/AC2</f>
      </c>
      <c r="O2" s="176">
        <f>(AE2-AD2)/AD2</f>
      </c>
      <c r="P2" s="176">
        <f>(AF2-AE2)/AE2</f>
      </c>
      <c r="Q2" s="174">
        <v>25365</v>
      </c>
      <c r="R2" s="174">
        <v>20316</v>
      </c>
      <c r="S2" s="174">
        <v>20611</v>
      </c>
      <c r="T2" s="174">
        <v>38541</v>
      </c>
      <c r="U2" s="174">
        <v>50181</v>
      </c>
      <c r="V2" s="174">
        <v>74597</v>
      </c>
      <c r="W2" s="174">
        <v>81578</v>
      </c>
      <c r="X2" s="174">
        <v>69670</v>
      </c>
      <c r="Y2" s="174">
        <v>50295</v>
      </c>
      <c r="Z2" s="174">
        <v>43074</v>
      </c>
      <c r="AA2" s="174">
        <v>31975</v>
      </c>
      <c r="AB2" s="174">
        <v>31678</v>
      </c>
      <c r="AC2" s="174">
        <v>18178</v>
      </c>
      <c r="AD2" s="174">
        <v>14711</v>
      </c>
      <c r="AE2" s="174">
        <v>19268</v>
      </c>
      <c r="AF2" s="174">
        <v>46197</v>
      </c>
    </row>
    <row customHeight="true" ht="13" r="3">
      <c r="A3" s="174" t="s">
        <v>301</v>
      </c>
      <c r="B3" s="176">
        <f t="shared" ref="B3:B13" si="11">(R3-Q3)/Q3</f>
      </c>
      <c r="C3" s="176">
        <f t="shared" ref="C3:C13" si="0">(S3-R3)/R3</f>
      </c>
      <c r="D3" s="176">
        <f t="shared" ref="D3:D13" si="4">(T3-S3)/S3</f>
      </c>
      <c r="E3" s="176">
        <f t="shared" ref="E3:E13" si="7">(U3-T3)/T3</f>
      </c>
      <c r="F3" s="176">
        <f t="shared" ref="F3:F13" si="12">(V3-U3)/U3</f>
      </c>
      <c r="G3" s="176">
        <f t="shared" ref="G3:G13" si="1">(W3-V3)/V3</f>
      </c>
      <c r="H3" s="176">
        <f t="shared" ref="H3:H13" si="5">(X3-W3)/W3</f>
      </c>
      <c r="I3" s="176">
        <f t="shared" ref="I3:I13" si="8">(Y3-X3)/X3</f>
      </c>
      <c r="J3" s="176">
        <f t="shared" ref="J3:J13" si="13">(Z3-Y3)/Y3</f>
      </c>
      <c r="K3" s="176">
        <f t="shared" ref="K3:K13" si="2">(AA3-Z3)/Z3</f>
      </c>
      <c r="L3" s="176">
        <f t="shared" ref="L3:L13" si="6">(AB3-AA3)/AA3</f>
      </c>
      <c r="M3" s="176">
        <f t="shared" ref="M3:M13" si="9">(AC3-AB3)/AB3</f>
      </c>
      <c r="N3" s="176">
        <f t="shared" ref="N3:N13" si="14">(AD3-AC3)/AC3</f>
      </c>
      <c r="O3" s="176">
        <f t="shared" ref="O3:O13" si="3">(AE3-AD3)/AD3</f>
      </c>
      <c r="P3" s="176">
        <f t="shared" ref="P3:P13" si="10">(AF3-AE3)/AE3</f>
      </c>
      <c r="Q3" s="174">
        <v>16042</v>
      </c>
      <c r="R3" s="174">
        <v>7430</v>
      </c>
      <c r="S3" s="174">
        <v>8753</v>
      </c>
      <c r="T3" s="174">
        <v>19541</v>
      </c>
      <c r="U3" s="174">
        <v>26122</v>
      </c>
      <c r="V3" s="174">
        <v>34521</v>
      </c>
      <c r="W3" s="174">
        <v>35131</v>
      </c>
      <c r="X3" s="174">
        <v>34301</v>
      </c>
      <c r="Y3" s="174">
        <v>23137</v>
      </c>
      <c r="Z3" s="174">
        <v>20535</v>
      </c>
      <c r="AA3" s="174">
        <v>19572</v>
      </c>
      <c r="AB3" s="174">
        <v>21298</v>
      </c>
      <c r="AC3" s="174">
        <v>16241</v>
      </c>
      <c r="AD3" s="174">
        <v>8634</v>
      </c>
      <c r="AE3" s="174">
        <v>9928</v>
      </c>
      <c r="AF3" s="174">
        <v>20914</v>
      </c>
    </row>
    <row customHeight="true" ht="13" r="4">
      <c r="A4" s="174" t="s">
        <v>302</v>
      </c>
      <c r="B4" s="176">
        <f t="shared" si="11"/>
      </c>
      <c r="C4" s="176">
        <f t="shared" si="0"/>
      </c>
      <c r="D4" s="176">
        <f t="shared" si="4"/>
      </c>
      <c r="E4" s="176">
        <f t="shared" si="7"/>
      </c>
      <c r="F4" s="176">
        <f t="shared" si="12"/>
      </c>
      <c r="G4" s="176">
        <f t="shared" si="1"/>
      </c>
      <c r="H4" s="176">
        <f t="shared" si="5"/>
      </c>
      <c r="I4" s="176">
        <f t="shared" si="8"/>
      </c>
      <c r="J4" s="176">
        <f t="shared" si="13"/>
      </c>
      <c r="K4" s="176">
        <f t="shared" si="2"/>
      </c>
      <c r="L4" s="176">
        <f t="shared" si="6"/>
      </c>
      <c r="M4" s="176">
        <f t="shared" si="9"/>
      </c>
      <c r="N4" s="176">
        <f t="shared" si="14"/>
      </c>
      <c r="O4" s="176">
        <f t="shared" si="3"/>
      </c>
      <c r="P4" s="176">
        <f t="shared" si="10"/>
      </c>
      <c r="Q4" s="174">
        <v>14549</v>
      </c>
      <c r="R4" s="174">
        <v>5996</v>
      </c>
      <c r="S4" s="174">
        <v>6380</v>
      </c>
      <c r="T4" s="174">
        <v>12952</v>
      </c>
      <c r="U4" s="174">
        <v>22016</v>
      </c>
      <c r="V4" s="174">
        <v>24522</v>
      </c>
      <c r="W4" s="174">
        <v>25355</v>
      </c>
      <c r="X4" s="174">
        <v>25547</v>
      </c>
      <c r="Y4" s="174">
        <v>15046</v>
      </c>
      <c r="Z4" s="174">
        <v>11123</v>
      </c>
      <c r="AA4" s="174">
        <v>12404</v>
      </c>
      <c r="AB4" s="174">
        <v>14359</v>
      </c>
      <c r="AC4" s="174">
        <v>15357</v>
      </c>
      <c r="AD4" s="174">
        <v>6651</v>
      </c>
      <c r="AE4" s="174">
        <v>6301</v>
      </c>
      <c r="AF4" s="174">
        <v>16163</v>
      </c>
    </row>
    <row customHeight="true" ht="13" r="5">
      <c r="A5" s="174" t="s">
        <v>303</v>
      </c>
      <c r="B5" s="176">
        <f t="shared" si="11"/>
      </c>
      <c r="C5" s="176">
        <f t="shared" si="0"/>
      </c>
      <c r="D5" s="176">
        <f t="shared" si="4"/>
      </c>
      <c r="E5" s="176">
        <f t="shared" si="7"/>
      </c>
      <c r="F5" s="176">
        <f t="shared" si="12"/>
      </c>
      <c r="G5" s="176">
        <f t="shared" si="1"/>
      </c>
      <c r="H5" s="176">
        <f t="shared" si="5"/>
      </c>
      <c r="I5" s="176">
        <f t="shared" si="8"/>
      </c>
      <c r="J5" s="176">
        <f t="shared" si="13"/>
      </c>
      <c r="K5" s="176">
        <f t="shared" si="2"/>
      </c>
      <c r="L5" s="176">
        <f t="shared" si="6"/>
      </c>
      <c r="M5" s="176">
        <f t="shared" si="9"/>
      </c>
      <c r="N5" s="176">
        <f t="shared" si="14"/>
      </c>
      <c r="O5" s="176">
        <f t="shared" si="3"/>
      </c>
      <c r="P5" s="176">
        <f t="shared" si="10"/>
      </c>
      <c r="Q5" s="174">
        <v>10561</v>
      </c>
      <c r="R5" s="174">
        <v>4900</v>
      </c>
      <c r="S5" s="174">
        <v>5050</v>
      </c>
      <c r="T5" s="174">
        <v>10275</v>
      </c>
      <c r="U5" s="174">
        <v>15520</v>
      </c>
      <c r="V5" s="174">
        <v>20743</v>
      </c>
      <c r="W5" s="174">
        <v>21107</v>
      </c>
      <c r="X5" s="174">
        <v>19665</v>
      </c>
      <c r="Y5" s="174">
        <v>12296</v>
      </c>
      <c r="Z5" s="174">
        <v>9535</v>
      </c>
      <c r="AA5" s="174">
        <v>10406</v>
      </c>
      <c r="AB5" s="174">
        <v>10606</v>
      </c>
      <c r="AC5" s="174">
        <v>12342</v>
      </c>
      <c r="AD5" s="174">
        <v>4567</v>
      </c>
      <c r="AE5" s="174">
        <v>5176</v>
      </c>
      <c r="AF5" s="174">
        <v>14193</v>
      </c>
    </row>
    <row customHeight="true" ht="13" r="6">
      <c r="A6" s="174" t="s">
        <v>304</v>
      </c>
      <c r="B6" s="176">
        <f t="shared" si="11"/>
      </c>
      <c r="C6" s="176">
        <f t="shared" si="0"/>
      </c>
      <c r="D6" s="176">
        <f t="shared" si="4"/>
      </c>
      <c r="E6" s="176">
        <f t="shared" si="7"/>
      </c>
      <c r="F6" s="176">
        <f t="shared" si="12"/>
      </c>
      <c r="G6" s="176">
        <f t="shared" si="1"/>
      </c>
      <c r="H6" s="176">
        <f t="shared" si="5"/>
      </c>
      <c r="I6" s="176">
        <f t="shared" si="8"/>
      </c>
      <c r="J6" s="176">
        <f t="shared" si="13"/>
      </c>
      <c r="K6" s="176">
        <f t="shared" si="2"/>
      </c>
      <c r="L6" s="176">
        <f t="shared" si="6"/>
      </c>
      <c r="M6" s="176">
        <f t="shared" si="9"/>
      </c>
      <c r="N6" s="176">
        <f t="shared" si="14"/>
      </c>
      <c r="O6" s="176">
        <f t="shared" si="3"/>
      </c>
      <c r="P6" s="176">
        <f t="shared" si="10"/>
      </c>
      <c r="Q6" s="174">
        <v>6687</v>
      </c>
      <c r="R6" s="174">
        <v>3596</v>
      </c>
      <c r="S6" s="174">
        <v>4418</v>
      </c>
      <c r="T6" s="174">
        <v>8723</v>
      </c>
      <c r="U6" s="174">
        <v>13851</v>
      </c>
      <c r="V6" s="174">
        <v>17527</v>
      </c>
      <c r="W6" s="174">
        <v>17363</v>
      </c>
      <c r="X6" s="174">
        <v>14864</v>
      </c>
      <c r="Y6" s="174">
        <v>10360</v>
      </c>
      <c r="Z6" s="174">
        <v>7460</v>
      </c>
      <c r="AA6" s="174">
        <v>7354</v>
      </c>
      <c r="AB6" s="174">
        <v>7938</v>
      </c>
      <c r="AC6" s="174">
        <v>7852</v>
      </c>
      <c r="AD6" s="174">
        <v>4044</v>
      </c>
      <c r="AE6" s="174">
        <v>4408</v>
      </c>
      <c r="AF6" s="174">
        <v>11595</v>
      </c>
    </row>
    <row customHeight="true" ht="13" r="7">
      <c r="A7" s="174" t="s">
        <v>305</v>
      </c>
      <c r="B7" s="176">
        <f t="shared" si="11"/>
      </c>
      <c r="C7" s="176">
        <f t="shared" si="0"/>
      </c>
      <c r="D7" s="176">
        <f t="shared" si="4"/>
      </c>
      <c r="E7" s="176">
        <f t="shared" si="7"/>
      </c>
      <c r="F7" s="176">
        <f t="shared" si="12"/>
      </c>
      <c r="G7" s="176">
        <f t="shared" si="1"/>
      </c>
      <c r="H7" s="176">
        <f t="shared" si="5"/>
      </c>
      <c r="I7" s="176">
        <f t="shared" si="8"/>
      </c>
      <c r="J7" s="176">
        <f t="shared" si="13"/>
      </c>
      <c r="K7" s="176">
        <f t="shared" si="2"/>
      </c>
      <c r="L7" s="176">
        <f t="shared" si="6"/>
      </c>
      <c r="M7" s="176">
        <f t="shared" si="9"/>
      </c>
      <c r="N7" s="176">
        <f t="shared" si="14"/>
      </c>
      <c r="O7" s="176">
        <f t="shared" si="3"/>
      </c>
      <c r="P7" s="176">
        <f t="shared" si="10"/>
      </c>
      <c r="Q7" s="174">
        <v>4959</v>
      </c>
      <c r="R7" s="174">
        <v>3086</v>
      </c>
      <c r="S7" s="174">
        <v>4081</v>
      </c>
      <c r="T7" s="174">
        <v>7850</v>
      </c>
      <c r="U7" s="174">
        <v>12134</v>
      </c>
      <c r="V7" s="174">
        <v>16046</v>
      </c>
      <c r="W7" s="174">
        <v>14184</v>
      </c>
      <c r="X7" s="174">
        <v>13671</v>
      </c>
      <c r="Y7" s="174">
        <v>8518</v>
      </c>
      <c r="Z7" s="174">
        <v>6721</v>
      </c>
      <c r="AA7" s="174">
        <v>6218</v>
      </c>
      <c r="AB7" s="174">
        <v>6903</v>
      </c>
      <c r="AC7" s="174">
        <v>6758</v>
      </c>
      <c r="AD7" s="174">
        <v>3494</v>
      </c>
      <c r="AE7" s="174">
        <v>3903</v>
      </c>
      <c r="AF7" s="174">
        <v>9255</v>
      </c>
    </row>
    <row customHeight="true" ht="13" r="8">
      <c r="A8" s="174" t="s">
        <v>306</v>
      </c>
      <c r="B8" s="176">
        <f t="shared" si="11"/>
      </c>
      <c r="C8" s="176">
        <f t="shared" si="0"/>
      </c>
      <c r="D8" s="176">
        <f t="shared" si="4"/>
      </c>
      <c r="E8" s="176">
        <f t="shared" si="7"/>
      </c>
      <c r="F8" s="176">
        <f t="shared" si="12"/>
      </c>
      <c r="G8" s="176">
        <f t="shared" si="1"/>
      </c>
      <c r="H8" s="176">
        <f t="shared" si="5"/>
      </c>
      <c r="I8" s="176">
        <f t="shared" si="8"/>
      </c>
      <c r="J8" s="176">
        <f t="shared" si="13"/>
      </c>
      <c r="K8" s="176">
        <f t="shared" si="2"/>
      </c>
      <c r="L8" s="176">
        <f t="shared" si="6"/>
      </c>
      <c r="M8" s="176">
        <f t="shared" si="9"/>
      </c>
      <c r="N8" s="176">
        <f t="shared" si="14"/>
      </c>
      <c r="O8" s="176">
        <f t="shared" si="3"/>
      </c>
      <c r="P8" s="176">
        <f t="shared" si="10"/>
      </c>
      <c r="Q8" s="174">
        <v>4086</v>
      </c>
      <c r="R8" s="174">
        <v>2719</v>
      </c>
      <c r="S8" s="174">
        <v>3578</v>
      </c>
      <c r="T8" s="174">
        <v>6877</v>
      </c>
      <c r="U8" s="174">
        <v>11507</v>
      </c>
      <c r="V8" s="174">
        <v>14930</v>
      </c>
      <c r="W8" s="174">
        <v>12557</v>
      </c>
      <c r="X8" s="174">
        <v>11506</v>
      </c>
      <c r="Y8" s="174">
        <v>7665</v>
      </c>
      <c r="Z8" s="174">
        <v>6337</v>
      </c>
      <c r="AA8" s="174">
        <v>5838</v>
      </c>
      <c r="AB8" s="174">
        <v>6119</v>
      </c>
      <c r="AC8" s="174">
        <v>5997</v>
      </c>
      <c r="AD8" s="174">
        <v>2990</v>
      </c>
      <c r="AE8" s="174">
        <v>3223</v>
      </c>
      <c r="AF8" s="174">
        <v>7769</v>
      </c>
    </row>
    <row customHeight="true" ht="13" r="9">
      <c r="A9" s="174" t="s">
        <v>307</v>
      </c>
      <c r="B9" s="176">
        <f t="shared" si="11"/>
      </c>
      <c r="C9" s="176">
        <f t="shared" si="0"/>
      </c>
      <c r="D9" s="176">
        <f t="shared" si="4"/>
      </c>
      <c r="E9" s="176">
        <f t="shared" si="7"/>
      </c>
      <c r="F9" s="176">
        <f t="shared" si="12"/>
      </c>
      <c r="G9" s="176">
        <f t="shared" si="1"/>
      </c>
      <c r="H9" s="176">
        <f t="shared" si="5"/>
      </c>
      <c r="I9" s="176">
        <f t="shared" si="8"/>
      </c>
      <c r="J9" s="176">
        <f t="shared" si="13"/>
      </c>
      <c r="K9" s="176">
        <f t="shared" si="2"/>
      </c>
      <c r="L9" s="176">
        <f t="shared" si="6"/>
      </c>
      <c r="M9" s="176">
        <f t="shared" si="9"/>
      </c>
      <c r="N9" s="176">
        <f t="shared" si="14"/>
      </c>
      <c r="O9" s="176">
        <f t="shared" si="3"/>
      </c>
      <c r="P9" s="176">
        <f t="shared" si="10"/>
      </c>
      <c r="Q9" s="174">
        <v>3626</v>
      </c>
      <c r="R9" s="174">
        <v>2483</v>
      </c>
      <c r="S9" s="174">
        <v>3216</v>
      </c>
      <c r="T9" s="174">
        <v>6067</v>
      </c>
      <c r="U9" s="174">
        <v>9704</v>
      </c>
      <c r="V9" s="174">
        <v>13716</v>
      </c>
      <c r="W9" s="174">
        <v>11808</v>
      </c>
      <c r="X9" s="174">
        <v>10366</v>
      </c>
      <c r="Y9" s="174">
        <v>7376</v>
      </c>
      <c r="Z9" s="174">
        <v>6160</v>
      </c>
      <c r="AA9" s="174">
        <v>5309</v>
      </c>
      <c r="AB9" s="174">
        <v>5364</v>
      </c>
      <c r="AC9" s="174">
        <v>5365</v>
      </c>
      <c r="AD9" s="174">
        <v>2761</v>
      </c>
      <c r="AE9" s="174">
        <v>2960</v>
      </c>
      <c r="AF9" s="174">
        <v>6678</v>
      </c>
    </row>
    <row customHeight="true" ht="13" r="10">
      <c r="A10" s="174" t="s">
        <v>308</v>
      </c>
      <c r="B10" s="176">
        <f t="shared" si="11"/>
      </c>
      <c r="C10" s="176">
        <f t="shared" si="0"/>
      </c>
      <c r="D10" s="176">
        <f t="shared" si="4"/>
      </c>
      <c r="E10" s="176">
        <f t="shared" si="7"/>
      </c>
      <c r="F10" s="176">
        <f t="shared" si="12"/>
      </c>
      <c r="G10" s="176">
        <f t="shared" si="1"/>
      </c>
      <c r="H10" s="176">
        <f t="shared" si="5"/>
      </c>
      <c r="I10" s="176">
        <f t="shared" si="8"/>
      </c>
      <c r="J10" s="176">
        <f t="shared" si="13"/>
      </c>
      <c r="K10" s="176">
        <f t="shared" si="2"/>
      </c>
      <c r="L10" s="176">
        <f t="shared" si="6"/>
      </c>
      <c r="M10" s="176">
        <f t="shared" si="9"/>
      </c>
      <c r="N10" s="176">
        <f t="shared" si="14"/>
      </c>
      <c r="O10" s="176">
        <f t="shared" si="3"/>
      </c>
      <c r="P10" s="176">
        <f t="shared" si="10"/>
      </c>
      <c r="Q10" s="174">
        <v>3305</v>
      </c>
      <c r="R10" s="174">
        <v>2308</v>
      </c>
      <c r="S10" s="174">
        <v>3051</v>
      </c>
      <c r="T10" s="174">
        <v>5533</v>
      </c>
      <c r="U10" s="174">
        <v>9068</v>
      </c>
      <c r="V10" s="174">
        <v>12233</v>
      </c>
      <c r="W10" s="174">
        <v>11517</v>
      </c>
      <c r="X10" s="174">
        <v>9550</v>
      </c>
      <c r="Y10" s="174">
        <v>6938</v>
      </c>
      <c r="Z10" s="174">
        <v>5814</v>
      </c>
      <c r="AA10" s="174">
        <v>5079</v>
      </c>
      <c r="AB10" s="174">
        <v>4688</v>
      </c>
      <c r="AC10" s="174">
        <v>4625</v>
      </c>
      <c r="AD10" s="174">
        <v>2441</v>
      </c>
      <c r="AE10" s="174">
        <v>2714</v>
      </c>
      <c r="AF10" s="174">
        <v>6099</v>
      </c>
    </row>
    <row customHeight="true" ht="13" r="11">
      <c r="A11" s="174" t="s">
        <v>309</v>
      </c>
      <c r="B11" s="176">
        <f t="shared" si="11"/>
      </c>
      <c r="C11" s="176">
        <f t="shared" si="0"/>
      </c>
      <c r="D11" s="176">
        <f t="shared" si="4"/>
      </c>
      <c r="E11" s="176">
        <f t="shared" si="7"/>
      </c>
      <c r="F11" s="176">
        <f t="shared" si="12"/>
      </c>
      <c r="G11" s="176">
        <f t="shared" si="1"/>
      </c>
      <c r="H11" s="176">
        <f t="shared" si="5"/>
      </c>
      <c r="I11" s="176">
        <f t="shared" si="8"/>
      </c>
      <c r="J11" s="176">
        <f t="shared" si="13"/>
      </c>
      <c r="K11" s="176">
        <f t="shared" si="2"/>
      </c>
      <c r="L11" s="176">
        <f t="shared" si="6"/>
      </c>
      <c r="M11" s="176">
        <f t="shared" si="9"/>
      </c>
      <c r="N11" s="176">
        <f t="shared" si="14"/>
      </c>
      <c r="O11" s="176">
        <f t="shared" si="3"/>
      </c>
      <c r="P11" s="176">
        <f t="shared" si="10"/>
      </c>
      <c r="Q11" s="177">
        <v>2944</v>
      </c>
      <c r="R11" s="174">
        <v>2216</v>
      </c>
      <c r="S11" s="174">
        <v>2592</v>
      </c>
      <c r="T11" s="174">
        <v>5221</v>
      </c>
      <c r="U11" s="174">
        <v>8034</v>
      </c>
      <c r="V11" s="174">
        <v>10872</v>
      </c>
      <c r="W11" s="174">
        <v>11192</v>
      </c>
      <c r="X11" s="174">
        <v>9312</v>
      </c>
      <c r="Y11" s="174">
        <v>6435</v>
      </c>
      <c r="Z11" s="174">
        <v>5493</v>
      </c>
      <c r="AA11" s="174">
        <v>4837</v>
      </c>
      <c r="AB11" s="174">
        <v>4405</v>
      </c>
      <c r="AC11" s="174">
        <v>3840</v>
      </c>
      <c r="AD11" s="174">
        <v>2318</v>
      </c>
      <c r="AE11" s="174">
        <v>2498</v>
      </c>
      <c r="AF11" s="174">
        <v>5646</v>
      </c>
    </row>
    <row customHeight="true" ht="13" r="12">
      <c r="A12" s="174" t="s">
        <v>310</v>
      </c>
      <c r="B12" s="176">
        <f t="shared" si="11"/>
      </c>
      <c r="C12" s="176">
        <f t="shared" si="0"/>
      </c>
      <c r="D12" s="176">
        <f t="shared" si="4"/>
      </c>
      <c r="E12" s="176">
        <f t="shared" si="7"/>
      </c>
      <c r="F12" s="176">
        <f t="shared" si="12"/>
      </c>
      <c r="G12" s="176">
        <f t="shared" si="1"/>
      </c>
      <c r="H12" s="176">
        <f t="shared" si="5"/>
      </c>
      <c r="I12" s="176">
        <f t="shared" si="8"/>
      </c>
      <c r="J12" s="176">
        <f t="shared" si="13"/>
      </c>
      <c r="K12" s="176">
        <f t="shared" si="2"/>
      </c>
      <c r="L12" s="176">
        <f t="shared" si="6"/>
      </c>
      <c r="M12" s="176">
        <f t="shared" si="9"/>
      </c>
      <c r="N12" s="176">
        <f t="shared" si="14"/>
      </c>
      <c r="O12" s="176">
        <f t="shared" si="3"/>
      </c>
      <c r="P12" s="176">
        <f t="shared" si="10"/>
      </c>
      <c r="Q12" s="174">
        <v>13912</v>
      </c>
      <c r="R12" s="174">
        <v>10366</v>
      </c>
      <c r="S12" s="174">
        <v>11811</v>
      </c>
      <c r="T12" s="174">
        <v>24292</v>
      </c>
      <c r="U12" s="174">
        <v>40514</v>
      </c>
      <c r="V12" s="174">
        <v>54970</v>
      </c>
      <c r="W12" s="174">
        <v>56779</v>
      </c>
      <c r="X12" s="174">
        <v>44318</v>
      </c>
      <c r="Y12" s="174">
        <v>29254</v>
      </c>
      <c r="Z12" s="174">
        <v>28653</v>
      </c>
      <c r="AA12" s="174">
        <v>22996</v>
      </c>
      <c r="AB12" s="174">
        <v>22294</v>
      </c>
      <c r="AC12" s="174">
        <v>18918</v>
      </c>
      <c r="AD12" s="174">
        <v>11559</v>
      </c>
      <c r="AE12" s="174">
        <v>11933</v>
      </c>
      <c r="AF12" s="174">
        <v>28271</v>
      </c>
    </row>
    <row customHeight="true" ht="13" r="13">
      <c r="A13" s="174">
        <v>1</v>
      </c>
      <c r="B13" s="176">
        <f t="shared" si="11"/>
      </c>
      <c r="C13" s="176">
        <f t="shared" si="0"/>
      </c>
      <c r="D13" s="176">
        <f t="shared" si="4"/>
      </c>
      <c r="E13" s="176">
        <f t="shared" si="7"/>
      </c>
      <c r="F13" s="176">
        <f t="shared" si="12"/>
      </c>
      <c r="G13" s="176">
        <f t="shared" si="1"/>
      </c>
      <c r="H13" s="176">
        <f t="shared" si="5"/>
      </c>
      <c r="I13" s="176">
        <f t="shared" si="8"/>
      </c>
      <c r="J13" s="176">
        <f t="shared" si="13"/>
      </c>
      <c r="K13" s="176">
        <f t="shared" si="2"/>
      </c>
      <c r="L13" s="176">
        <f t="shared" si="6"/>
      </c>
      <c r="M13" s="176">
        <f t="shared" si="9"/>
      </c>
      <c r="N13" s="176">
        <f t="shared" si="14"/>
      </c>
      <c r="O13" s="176">
        <f t="shared" si="3"/>
      </c>
      <c r="P13" s="176">
        <f t="shared" si="10"/>
      </c>
      <c r="Q13" s="178">
        <v>11201</v>
      </c>
      <c r="R13" s="178">
        <v>9495</v>
      </c>
      <c r="S13" s="178">
        <v>9689</v>
      </c>
      <c r="T13" s="178">
        <v>11718</v>
      </c>
      <c r="U13" s="178">
        <v>13987</v>
      </c>
      <c r="V13" s="178">
        <v>18153</v>
      </c>
      <c r="W13" s="178">
        <v>23183</v>
      </c>
      <c r="X13" s="178">
        <v>17933</v>
      </c>
      <c r="Y13" s="178">
        <v>14686</v>
      </c>
      <c r="Z13" s="178">
        <v>9515</v>
      </c>
      <c r="AA13" s="178">
        <v>6831</v>
      </c>
      <c r="AB13" s="178">
        <v>8648</v>
      </c>
      <c r="AC13" s="178">
        <v>3987</v>
      </c>
      <c r="AD13" s="178">
        <v>4109</v>
      </c>
      <c r="AE13" s="178">
        <v>5255</v>
      </c>
      <c r="AF13" s="178">
        <v>11564</v>
      </c>
    </row>
  </sheetData>
  <pageMargins bottom="1" footer="0.5" header="0.5" left="0.75" right="0.75" top="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6"/>
  <cols>
    <col collapsed="false" customWidth="true" hidden="false" max="2" min="2" style="0" width="9"/>
  </cols>
  <sheetData>
    <row customHeight="true" ht="13" r="1">
      <c r="A1" s="179" t="s">
        <v>311</v>
      </c>
      <c r="B1" s="179" t="s">
        <v>312</v>
      </c>
      <c r="C1" s="179">
        <v>202206</v>
      </c>
      <c r="D1" s="179">
        <v>202207</v>
      </c>
      <c r="E1" s="179">
        <v>202208</v>
      </c>
      <c r="F1" s="179">
        <v>202209</v>
      </c>
      <c r="G1" s="179">
        <v>202210</v>
      </c>
      <c r="H1" s="179">
        <v>202211</v>
      </c>
      <c r="I1" s="179">
        <v>202212</v>
      </c>
      <c r="J1" s="179">
        <v>202301</v>
      </c>
      <c r="K1" s="179">
        <v>202302</v>
      </c>
      <c r="L1" s="179">
        <v>202303</v>
      </c>
      <c r="M1" s="179">
        <v>202304</v>
      </c>
      <c r="N1" s="179">
        <v>202305</v>
      </c>
      <c r="O1" s="179">
        <v>202306</v>
      </c>
      <c r="P1" s="179">
        <v>202307</v>
      </c>
      <c r="Q1" s="179">
        <v>202308</v>
      </c>
      <c r="R1" s="179">
        <v>202309</v>
      </c>
      <c r="S1" s="179">
        <v>202310</v>
      </c>
      <c r="T1" s="179">
        <v>202311</v>
      </c>
      <c r="U1" s="179">
        <v>202312</v>
      </c>
      <c r="V1" s="179">
        <v>202401</v>
      </c>
      <c r="W1" s="179">
        <v>202402</v>
      </c>
      <c r="X1" s="179">
        <v>202403</v>
      </c>
      <c r="Y1" s="179">
        <v>202404</v>
      </c>
      <c r="Z1" s="179">
        <v>202405</v>
      </c>
      <c r="AA1" s="180">
        <v>202406</v>
      </c>
      <c r="AB1" s="180">
        <v>202407</v>
      </c>
      <c r="AC1" s="180">
        <v>202408</v>
      </c>
      <c r="AD1" s="180">
        <v>202409</v>
      </c>
      <c r="AE1" s="180">
        <v>202410</v>
      </c>
      <c r="AF1" s="180">
        <v>202411</v>
      </c>
      <c r="AG1" s="180">
        <v>202412</v>
      </c>
      <c r="AH1" s="180">
        <v>202501</v>
      </c>
      <c r="AI1" s="180">
        <v>202502</v>
      </c>
      <c r="AJ1" s="180">
        <v>202503</v>
      </c>
      <c r="AK1" s="180">
        <v>202504</v>
      </c>
      <c r="AL1" s="180">
        <v>202505</v>
      </c>
      <c r="AM1" s="180">
        <v>202506</v>
      </c>
      <c r="AN1" s="180">
        <v>202507</v>
      </c>
      <c r="AO1" s="180">
        <v>202508</v>
      </c>
      <c r="AP1" s="180">
        <v>202509</v>
      </c>
      <c r="AQ1" s="180">
        <v>202510</v>
      </c>
      <c r="AR1" s="180">
        <v>202511</v>
      </c>
      <c r="AS1" s="180">
        <v>202512</v>
      </c>
      <c r="AT1" s="180">
        <v>202601</v>
      </c>
      <c r="AU1" s="180">
        <v>202602</v>
      </c>
      <c r="AV1" s="180">
        <v>202603</v>
      </c>
    </row>
    <row customHeight="true" ht="13" r="2">
      <c r="A2" s="181">
        <v>1</v>
      </c>
      <c r="B2" s="182" t="s">
        <v>313</v>
      </c>
      <c r="C2" s="183">
        <v>10329</v>
      </c>
      <c r="D2" s="183">
        <v>13063</v>
      </c>
      <c r="E2" s="183">
        <v>9606</v>
      </c>
      <c r="F2" s="183">
        <v>7304</v>
      </c>
      <c r="G2" s="183">
        <v>3591</v>
      </c>
      <c r="H2" s="183">
        <v>6535</v>
      </c>
      <c r="I2" s="183">
        <v>7124</v>
      </c>
      <c r="J2" s="183">
        <v>6690</v>
      </c>
      <c r="K2" s="183">
        <v>7038</v>
      </c>
      <c r="L2" s="183">
        <v>5835</v>
      </c>
      <c r="M2" s="183">
        <v>9660</v>
      </c>
      <c r="N2" s="183">
        <v>14225</v>
      </c>
      <c r="O2" s="183">
        <v>16085</v>
      </c>
      <c r="P2" s="183">
        <v>14839</v>
      </c>
      <c r="Q2" s="183">
        <v>13704</v>
      </c>
      <c r="R2" s="183">
        <v>10853</v>
      </c>
      <c r="S2" s="183">
        <v>9774</v>
      </c>
      <c r="T2" s="183">
        <v>12051</v>
      </c>
      <c r="U2" s="183">
        <v>11144</v>
      </c>
      <c r="V2" s="183">
        <v>11440</v>
      </c>
      <c r="W2" s="183">
        <v>13010</v>
      </c>
      <c r="X2" s="183">
        <v>14028</v>
      </c>
      <c r="Y2" s="183">
        <v>11367</v>
      </c>
      <c r="Z2" s="183">
        <v>16711</v>
      </c>
      <c r="AA2" s="184">
        <v>16710</v>
      </c>
      <c r="AB2" s="184">
        <v>19819</v>
      </c>
      <c r="AC2" s="184">
        <v>21729</v>
      </c>
      <c r="AD2" s="184">
        <v>16530</v>
      </c>
      <c r="AE2" s="184">
        <v>14683</v>
      </c>
      <c r="AF2" s="184">
        <v>16180</v>
      </c>
      <c r="AG2" s="184">
        <v>11201</v>
      </c>
      <c r="AH2" s="184">
        <v>9495</v>
      </c>
      <c r="AI2" s="184">
        <v>9689</v>
      </c>
      <c r="AJ2" s="184">
        <v>11718</v>
      </c>
      <c r="AK2" s="184">
        <v>13987</v>
      </c>
      <c r="AL2" s="184">
        <v>18153</v>
      </c>
      <c r="AM2" s="184">
        <v>23183</v>
      </c>
      <c r="AN2" s="184">
        <v>17933</v>
      </c>
      <c r="AO2" s="184">
        <v>14686</v>
      </c>
      <c r="AP2" s="184">
        <v>9515</v>
      </c>
      <c r="AQ2" s="184">
        <v>6831</v>
      </c>
      <c r="AR2" s="184">
        <v>8648</v>
      </c>
      <c r="AS2" s="184">
        <v>3987</v>
      </c>
      <c r="AT2" s="184">
        <v>4109</v>
      </c>
      <c r="AU2" s="184">
        <v>5255</v>
      </c>
      <c r="AV2" s="184">
        <v>11564</v>
      </c>
    </row>
    <row customHeight="true" ht="13" r="3">
      <c r="A3" s="185">
        <v>2</v>
      </c>
      <c r="B3" s="182" t="s">
        <v>313</v>
      </c>
      <c r="C3" s="183">
        <v>5789</v>
      </c>
      <c r="D3" s="183">
        <v>9626</v>
      </c>
      <c r="E3" s="183">
        <v>6604</v>
      </c>
      <c r="F3" s="183">
        <v>3381</v>
      </c>
      <c r="G3" s="183">
        <v>3355</v>
      </c>
      <c r="H3" s="183">
        <v>5479</v>
      </c>
      <c r="I3" s="183">
        <v>5606</v>
      </c>
      <c r="J3" s="183">
        <v>2330</v>
      </c>
      <c r="K3" s="183">
        <v>3570</v>
      </c>
      <c r="L3" s="183">
        <v>4172</v>
      </c>
      <c r="M3" s="183">
        <v>5962</v>
      </c>
      <c r="N3" s="183">
        <v>10047</v>
      </c>
      <c r="O3" s="183">
        <v>10819</v>
      </c>
      <c r="P3" s="183">
        <v>13540</v>
      </c>
      <c r="Q3" s="183">
        <v>7639</v>
      </c>
      <c r="R3" s="183">
        <v>8865</v>
      </c>
      <c r="S3" s="183">
        <v>5792</v>
      </c>
      <c r="T3" s="183">
        <v>8458</v>
      </c>
      <c r="U3" s="183">
        <v>3611</v>
      </c>
      <c r="V3" s="183">
        <v>2590</v>
      </c>
      <c r="W3" s="183">
        <v>3206</v>
      </c>
      <c r="X3" s="183">
        <v>6334</v>
      </c>
      <c r="Y3" s="183">
        <v>9624</v>
      </c>
      <c r="Z3" s="183">
        <v>15449</v>
      </c>
      <c r="AA3" s="184">
        <v>16560</v>
      </c>
      <c r="AB3" s="184">
        <v>12106</v>
      </c>
      <c r="AC3" s="184">
        <v>8216</v>
      </c>
      <c r="AD3" s="184">
        <v>10007</v>
      </c>
      <c r="AE3" s="184">
        <v>7778</v>
      </c>
      <c r="AF3" s="184">
        <v>8151</v>
      </c>
      <c r="AG3" s="184">
        <v>4023</v>
      </c>
      <c r="AH3" s="184">
        <v>3915</v>
      </c>
      <c r="AI3" s="184">
        <v>3250</v>
      </c>
      <c r="AJ3" s="184">
        <v>10175</v>
      </c>
      <c r="AK3" s="184">
        <v>10451</v>
      </c>
      <c r="AL3" s="184">
        <v>17438</v>
      </c>
      <c r="AM3" s="184">
        <v>18541</v>
      </c>
      <c r="AN3" s="184">
        <v>17688</v>
      </c>
      <c r="AO3" s="184">
        <v>10999</v>
      </c>
      <c r="AP3" s="184">
        <v>9486</v>
      </c>
      <c r="AQ3" s="184">
        <v>6801</v>
      </c>
      <c r="AR3" s="184">
        <v>8584</v>
      </c>
      <c r="AS3" s="184">
        <v>3679</v>
      </c>
      <c r="AT3" s="184">
        <v>3479</v>
      </c>
      <c r="AU3" s="184">
        <v>4137</v>
      </c>
      <c r="AV3" s="184">
        <v>11564</v>
      </c>
    </row>
    <row customHeight="true" ht="13" r="4">
      <c r="A4" s="181">
        <v>3</v>
      </c>
      <c r="B4" s="182" t="s">
        <v>313</v>
      </c>
      <c r="C4" s="183">
        <v>5473</v>
      </c>
      <c r="D4" s="183">
        <v>9105</v>
      </c>
      <c r="E4" s="183">
        <v>4019</v>
      </c>
      <c r="F4" s="183">
        <v>2021</v>
      </c>
      <c r="G4" s="183">
        <v>2728</v>
      </c>
      <c r="H4" s="183">
        <v>2104</v>
      </c>
      <c r="I4" s="183">
        <v>2206</v>
      </c>
      <c r="J4" s="183">
        <v>1798</v>
      </c>
      <c r="K4" s="183">
        <v>2755</v>
      </c>
      <c r="L4" s="183">
        <v>3959</v>
      </c>
      <c r="M4" s="183">
        <v>5900</v>
      </c>
      <c r="N4" s="183">
        <v>9929</v>
      </c>
      <c r="O4" s="183">
        <v>9232</v>
      </c>
      <c r="P4" s="183">
        <v>12459</v>
      </c>
      <c r="Q4" s="183">
        <v>7406</v>
      </c>
      <c r="R4" s="183">
        <v>6356</v>
      </c>
      <c r="S4" s="183">
        <v>4631</v>
      </c>
      <c r="T4" s="183">
        <v>8405</v>
      </c>
      <c r="U4" s="183">
        <v>2882</v>
      </c>
      <c r="V4" s="183">
        <v>2273</v>
      </c>
      <c r="W4" s="183">
        <v>3082</v>
      </c>
      <c r="X4" s="183">
        <v>6330</v>
      </c>
      <c r="Y4" s="183">
        <v>9034</v>
      </c>
      <c r="Z4" s="183">
        <v>14067</v>
      </c>
      <c r="AA4" s="184">
        <v>14908</v>
      </c>
      <c r="AB4" s="184">
        <v>10953</v>
      </c>
      <c r="AC4" s="184">
        <v>8112</v>
      </c>
      <c r="AD4" s="184">
        <v>7674</v>
      </c>
      <c r="AE4" s="184">
        <v>5820</v>
      </c>
      <c r="AF4" s="184">
        <v>7464</v>
      </c>
      <c r="AG4" s="184">
        <v>3489</v>
      </c>
      <c r="AH4" s="184">
        <v>2832</v>
      </c>
      <c r="AI4" s="184">
        <v>2835</v>
      </c>
      <c r="AJ4" s="184">
        <v>6229</v>
      </c>
      <c r="AK4" s="184">
        <v>9592</v>
      </c>
      <c r="AL4" s="184">
        <v>15894</v>
      </c>
      <c r="AM4" s="184">
        <v>18254</v>
      </c>
      <c r="AN4" s="184">
        <v>14299</v>
      </c>
      <c r="AO4" s="184">
        <v>9116</v>
      </c>
      <c r="AP4" s="184">
        <v>8731</v>
      </c>
      <c r="AQ4" s="184">
        <v>6465</v>
      </c>
      <c r="AR4" s="184">
        <v>4991</v>
      </c>
      <c r="AS4" s="184">
        <v>3534</v>
      </c>
      <c r="AT4" s="184">
        <v>3034</v>
      </c>
      <c r="AU4" s="184">
        <v>3933</v>
      </c>
      <c r="AV4" s="184">
        <v>10605</v>
      </c>
    </row>
    <row customHeight="true" ht="13" r="5">
      <c r="A5" s="185">
        <v>4</v>
      </c>
      <c r="B5" s="182" t="s">
        <v>313</v>
      </c>
      <c r="C5" s="183">
        <v>4407</v>
      </c>
      <c r="D5" s="183">
        <v>5611</v>
      </c>
      <c r="E5" s="183">
        <v>3069</v>
      </c>
      <c r="F5" s="183">
        <v>1951</v>
      </c>
      <c r="G5" s="183">
        <v>1513</v>
      </c>
      <c r="H5" s="183">
        <v>1471</v>
      </c>
      <c r="I5" s="183">
        <v>1655</v>
      </c>
      <c r="J5" s="183">
        <v>1448</v>
      </c>
      <c r="K5" s="183">
        <v>2460</v>
      </c>
      <c r="L5" s="183">
        <v>3859</v>
      </c>
      <c r="M5" s="183">
        <v>5873</v>
      </c>
      <c r="N5" s="183">
        <v>7565</v>
      </c>
      <c r="O5" s="183">
        <v>8397</v>
      </c>
      <c r="P5" s="183">
        <v>10524</v>
      </c>
      <c r="Q5" s="183">
        <v>7302</v>
      </c>
      <c r="R5" s="183">
        <v>5336</v>
      </c>
      <c r="S5" s="183">
        <v>3911</v>
      </c>
      <c r="T5" s="183">
        <v>5390</v>
      </c>
      <c r="U5" s="183">
        <v>2191</v>
      </c>
      <c r="V5" s="183">
        <v>1869</v>
      </c>
      <c r="W5" s="183">
        <v>3068</v>
      </c>
      <c r="X5" s="183">
        <v>6211</v>
      </c>
      <c r="Y5" s="183">
        <v>8395</v>
      </c>
      <c r="Z5" s="183">
        <v>11770</v>
      </c>
      <c r="AA5" s="184">
        <v>11460</v>
      </c>
      <c r="AB5" s="184">
        <v>10055</v>
      </c>
      <c r="AC5" s="184">
        <v>7037</v>
      </c>
      <c r="AD5" s="184">
        <v>6158</v>
      </c>
      <c r="AE5" s="184">
        <v>5501</v>
      </c>
      <c r="AF5" s="184">
        <v>5046</v>
      </c>
      <c r="AG5" s="184">
        <v>3331</v>
      </c>
      <c r="AH5" s="184">
        <v>2204</v>
      </c>
      <c r="AI5" s="184">
        <v>2542</v>
      </c>
      <c r="AJ5" s="184">
        <v>5541</v>
      </c>
      <c r="AK5" s="184">
        <v>8312</v>
      </c>
      <c r="AL5" s="184">
        <v>13977</v>
      </c>
      <c r="AM5" s="184">
        <v>12938</v>
      </c>
      <c r="AN5" s="184">
        <v>11445</v>
      </c>
      <c r="AO5" s="184">
        <v>8750</v>
      </c>
      <c r="AP5" s="184">
        <v>8411</v>
      </c>
      <c r="AQ5" s="184">
        <v>6309</v>
      </c>
      <c r="AR5" s="184">
        <v>4755</v>
      </c>
      <c r="AS5" s="184">
        <v>3515</v>
      </c>
      <c r="AT5" s="184">
        <v>2184</v>
      </c>
      <c r="AU5" s="184">
        <v>3325</v>
      </c>
      <c r="AV5" s="184">
        <v>7504</v>
      </c>
    </row>
    <row customHeight="true" ht="13" r="6">
      <c r="A6" s="181">
        <v>5</v>
      </c>
      <c r="B6" s="182" t="s">
        <v>313</v>
      </c>
      <c r="C6" s="183">
        <v>2670</v>
      </c>
      <c r="D6" s="183">
        <v>4265</v>
      </c>
      <c r="E6" s="183">
        <v>2734</v>
      </c>
      <c r="F6" s="183">
        <v>1869</v>
      </c>
      <c r="G6" s="183">
        <v>1495</v>
      </c>
      <c r="H6" s="183">
        <v>1452</v>
      </c>
      <c r="I6" s="183">
        <v>1443</v>
      </c>
      <c r="J6" s="183">
        <v>1232</v>
      </c>
      <c r="K6" s="183">
        <v>1970</v>
      </c>
      <c r="L6" s="183">
        <v>3484</v>
      </c>
      <c r="M6" s="183">
        <v>5470</v>
      </c>
      <c r="N6" s="183">
        <v>7505</v>
      </c>
      <c r="O6" s="183">
        <v>6225</v>
      </c>
      <c r="P6" s="183">
        <v>8405</v>
      </c>
      <c r="Q6" s="183">
        <v>6474</v>
      </c>
      <c r="R6" s="183">
        <v>5278</v>
      </c>
      <c r="S6" s="183">
        <v>3819</v>
      </c>
      <c r="T6" s="183">
        <v>4207</v>
      </c>
      <c r="U6" s="183">
        <v>2131</v>
      </c>
      <c r="V6" s="183">
        <v>1842</v>
      </c>
      <c r="W6" s="183">
        <v>2861</v>
      </c>
      <c r="X6" s="183">
        <v>5294</v>
      </c>
      <c r="Y6" s="183">
        <v>5814</v>
      </c>
      <c r="Z6" s="183">
        <v>10199</v>
      </c>
      <c r="AA6" s="184">
        <v>9483</v>
      </c>
      <c r="AB6" s="184">
        <v>9969</v>
      </c>
      <c r="AC6" s="184">
        <v>6866</v>
      </c>
      <c r="AD6" s="184">
        <v>6147</v>
      </c>
      <c r="AE6" s="184">
        <v>5115</v>
      </c>
      <c r="AF6" s="184">
        <v>4847</v>
      </c>
      <c r="AG6" s="184">
        <v>3321</v>
      </c>
      <c r="AH6" s="184">
        <v>1870</v>
      </c>
      <c r="AI6" s="184">
        <v>2295</v>
      </c>
      <c r="AJ6" s="184">
        <v>4878</v>
      </c>
      <c r="AK6" s="184">
        <v>7839</v>
      </c>
      <c r="AL6" s="184">
        <v>9135</v>
      </c>
      <c r="AM6" s="184">
        <v>8662</v>
      </c>
      <c r="AN6" s="184">
        <v>8305</v>
      </c>
      <c r="AO6" s="184">
        <v>6744</v>
      </c>
      <c r="AP6" s="184">
        <v>6931</v>
      </c>
      <c r="AQ6" s="184">
        <v>5569</v>
      </c>
      <c r="AR6" s="184">
        <v>4700</v>
      </c>
      <c r="AS6" s="184">
        <v>3463</v>
      </c>
      <c r="AT6" s="184">
        <v>1905</v>
      </c>
      <c r="AU6" s="184">
        <v>2618</v>
      </c>
      <c r="AV6" s="184">
        <v>4960</v>
      </c>
    </row>
    <row customHeight="true" ht="13" r="7">
      <c r="A7" s="185">
        <v>6</v>
      </c>
      <c r="B7" s="182" t="s">
        <v>314</v>
      </c>
      <c r="C7" s="183">
        <v>2496</v>
      </c>
      <c r="D7" s="183">
        <v>3442</v>
      </c>
      <c r="E7" s="183">
        <v>2432</v>
      </c>
      <c r="F7" s="183">
        <v>1823</v>
      </c>
      <c r="G7" s="183">
        <v>1470</v>
      </c>
      <c r="H7" s="183">
        <v>1136</v>
      </c>
      <c r="I7" s="183">
        <v>1080</v>
      </c>
      <c r="J7" s="183">
        <v>1130</v>
      </c>
      <c r="K7" s="183">
        <v>1969</v>
      </c>
      <c r="L7" s="183">
        <v>2976</v>
      </c>
      <c r="M7" s="183">
        <v>5422</v>
      </c>
      <c r="N7" s="183">
        <v>5411</v>
      </c>
      <c r="O7" s="183">
        <v>5844</v>
      </c>
      <c r="P7" s="183">
        <v>7728</v>
      </c>
      <c r="Q7" s="183">
        <v>5841</v>
      </c>
      <c r="R7" s="183">
        <v>4615</v>
      </c>
      <c r="S7" s="183">
        <v>3713</v>
      </c>
      <c r="T7" s="183">
        <v>3694</v>
      </c>
      <c r="U7" s="183">
        <v>2124</v>
      </c>
      <c r="V7" s="183">
        <v>1788</v>
      </c>
      <c r="W7" s="183">
        <v>2854</v>
      </c>
      <c r="X7" s="183">
        <v>5241</v>
      </c>
      <c r="Y7" s="183">
        <v>5624</v>
      </c>
      <c r="Z7" s="183">
        <v>9020</v>
      </c>
      <c r="AA7" s="184">
        <v>8306</v>
      </c>
      <c r="AB7" s="184">
        <v>7791</v>
      </c>
      <c r="AC7" s="184">
        <v>6449</v>
      </c>
      <c r="AD7" s="184">
        <v>5563</v>
      </c>
      <c r="AE7" s="184">
        <v>4480</v>
      </c>
      <c r="AF7" s="184">
        <v>3897</v>
      </c>
      <c r="AG7" s="184">
        <v>3224</v>
      </c>
      <c r="AH7" s="184">
        <v>1715</v>
      </c>
      <c r="AI7" s="184">
        <v>2136</v>
      </c>
      <c r="AJ7" s="184">
        <v>4427</v>
      </c>
      <c r="AK7" s="184">
        <v>5369</v>
      </c>
      <c r="AL7" s="184">
        <v>8503</v>
      </c>
      <c r="AM7" s="184">
        <v>8436</v>
      </c>
      <c r="AN7" s="184">
        <v>8299</v>
      </c>
      <c r="AO7" s="184">
        <v>5924</v>
      </c>
      <c r="AP7" s="184">
        <v>6427</v>
      </c>
      <c r="AQ7" s="184">
        <v>5072</v>
      </c>
      <c r="AR7" s="184">
        <v>4674</v>
      </c>
      <c r="AS7" s="184">
        <v>3435</v>
      </c>
      <c r="AT7" s="184">
        <v>1753</v>
      </c>
      <c r="AU7" s="184">
        <v>2200</v>
      </c>
      <c r="AV7" s="184">
        <v>4933</v>
      </c>
    </row>
    <row customHeight="true" ht="13" r="8">
      <c r="A8" s="181">
        <v>7</v>
      </c>
      <c r="B8" s="182" t="s">
        <v>314</v>
      </c>
      <c r="C8" s="183">
        <v>2391</v>
      </c>
      <c r="D8" s="183">
        <v>3441</v>
      </c>
      <c r="E8" s="183">
        <v>2201</v>
      </c>
      <c r="F8" s="183">
        <v>1736</v>
      </c>
      <c r="G8" s="183">
        <v>1248</v>
      </c>
      <c r="H8" s="183">
        <v>1033</v>
      </c>
      <c r="I8" s="183">
        <v>1068</v>
      </c>
      <c r="J8" s="183">
        <v>1044</v>
      </c>
      <c r="K8" s="183">
        <v>1933</v>
      </c>
      <c r="L8" s="183">
        <v>2868</v>
      </c>
      <c r="M8" s="183">
        <v>4165</v>
      </c>
      <c r="N8" s="183">
        <v>5152</v>
      </c>
      <c r="O8" s="183">
        <v>5822</v>
      </c>
      <c r="P8" s="183">
        <v>6934</v>
      </c>
      <c r="Q8" s="183">
        <v>4580</v>
      </c>
      <c r="R8" s="183">
        <v>4373</v>
      </c>
      <c r="S8" s="183">
        <v>3234</v>
      </c>
      <c r="T8" s="183">
        <v>3329</v>
      </c>
      <c r="U8" s="183">
        <v>1671</v>
      </c>
      <c r="V8" s="183">
        <v>1692</v>
      </c>
      <c r="W8" s="183">
        <v>2836</v>
      </c>
      <c r="X8" s="183">
        <v>4860</v>
      </c>
      <c r="Y8" s="183">
        <v>5602</v>
      </c>
      <c r="Z8" s="183">
        <v>8722</v>
      </c>
      <c r="AA8" s="184">
        <v>8183</v>
      </c>
      <c r="AB8" s="184">
        <v>6661</v>
      </c>
      <c r="AC8" s="184">
        <v>5696</v>
      </c>
      <c r="AD8" s="184">
        <v>5242</v>
      </c>
      <c r="AE8" s="184">
        <v>4318</v>
      </c>
      <c r="AF8" s="184">
        <v>3788</v>
      </c>
      <c r="AG8" s="184">
        <v>3216</v>
      </c>
      <c r="AH8" s="184">
        <v>1542</v>
      </c>
      <c r="AI8" s="184">
        <v>1703</v>
      </c>
      <c r="AJ8" s="184">
        <v>4195</v>
      </c>
      <c r="AK8" s="184">
        <v>5277</v>
      </c>
      <c r="AL8" s="184">
        <v>7587</v>
      </c>
      <c r="AM8" s="184">
        <v>7511</v>
      </c>
      <c r="AN8" s="184">
        <v>7142</v>
      </c>
      <c r="AO8" s="184">
        <v>4593</v>
      </c>
      <c r="AP8" s="184">
        <v>5391</v>
      </c>
      <c r="AQ8" s="184">
        <v>4127</v>
      </c>
      <c r="AR8" s="184">
        <v>4641</v>
      </c>
      <c r="AS8" s="184">
        <v>3368</v>
      </c>
      <c r="AT8" s="184">
        <v>1738</v>
      </c>
      <c r="AU8" s="184">
        <v>2174</v>
      </c>
      <c r="AV8" s="184">
        <v>4123</v>
      </c>
    </row>
    <row customHeight="true" ht="13" r="9">
      <c r="A9" s="185">
        <v>8</v>
      </c>
      <c r="B9" s="182" t="s">
        <v>314</v>
      </c>
      <c r="C9" s="183">
        <v>2318</v>
      </c>
      <c r="D9" s="183">
        <v>2928</v>
      </c>
      <c r="E9" s="183">
        <v>2155</v>
      </c>
      <c r="F9" s="183">
        <v>1558</v>
      </c>
      <c r="G9" s="183">
        <v>1196</v>
      </c>
      <c r="H9" s="183">
        <v>875</v>
      </c>
      <c r="I9" s="183">
        <v>966</v>
      </c>
      <c r="J9" s="183">
        <v>1033</v>
      </c>
      <c r="K9" s="183">
        <v>1707</v>
      </c>
      <c r="L9" s="183">
        <v>2753</v>
      </c>
      <c r="M9" s="183">
        <v>4162</v>
      </c>
      <c r="N9" s="183">
        <v>5106</v>
      </c>
      <c r="O9" s="183">
        <v>5479</v>
      </c>
      <c r="P9" s="183">
        <v>6843</v>
      </c>
      <c r="Q9" s="183">
        <v>4458</v>
      </c>
      <c r="R9" s="183">
        <v>3817</v>
      </c>
      <c r="S9" s="183">
        <v>3170</v>
      </c>
      <c r="T9" s="183">
        <v>2320</v>
      </c>
      <c r="U9" s="183">
        <v>1367</v>
      </c>
      <c r="V9" s="183">
        <v>1478</v>
      </c>
      <c r="W9" s="183">
        <v>2757</v>
      </c>
      <c r="X9" s="183">
        <v>4781</v>
      </c>
      <c r="Y9" s="183">
        <v>5233</v>
      </c>
      <c r="Z9" s="183">
        <v>7886</v>
      </c>
      <c r="AA9" s="184">
        <v>7605</v>
      </c>
      <c r="AB9" s="184">
        <v>6173</v>
      </c>
      <c r="AC9" s="184">
        <v>4530</v>
      </c>
      <c r="AD9" s="184">
        <v>4921</v>
      </c>
      <c r="AE9" s="184">
        <v>2922</v>
      </c>
      <c r="AF9" s="184">
        <v>3496</v>
      </c>
      <c r="AG9" s="184">
        <v>3208</v>
      </c>
      <c r="AH9" s="184">
        <v>1416</v>
      </c>
      <c r="AI9" s="184">
        <v>1694</v>
      </c>
      <c r="AJ9" s="184">
        <v>4019</v>
      </c>
      <c r="AK9" s="184">
        <v>5190</v>
      </c>
      <c r="AL9" s="184">
        <v>7006</v>
      </c>
      <c r="AM9" s="184">
        <v>6944</v>
      </c>
      <c r="AN9" s="184">
        <v>6624</v>
      </c>
      <c r="AO9" s="184">
        <v>4508</v>
      </c>
      <c r="AP9" s="184">
        <v>3399</v>
      </c>
      <c r="AQ9" s="184">
        <v>3749</v>
      </c>
      <c r="AR9" s="184">
        <v>4587</v>
      </c>
      <c r="AS9" s="184">
        <v>3160</v>
      </c>
      <c r="AT9" s="184">
        <v>1723</v>
      </c>
      <c r="AU9" s="184">
        <v>2153</v>
      </c>
      <c r="AV9" s="184">
        <v>4068</v>
      </c>
    </row>
    <row customHeight="true" ht="13" r="10">
      <c r="A10" s="181">
        <v>9</v>
      </c>
      <c r="B10" s="182" t="s">
        <v>314</v>
      </c>
      <c r="C10" s="183">
        <v>2318</v>
      </c>
      <c r="D10" s="183">
        <v>2709</v>
      </c>
      <c r="E10" s="183">
        <v>2013</v>
      </c>
      <c r="F10" s="183">
        <v>1479</v>
      </c>
      <c r="G10" s="183">
        <v>1078</v>
      </c>
      <c r="H10" s="183">
        <v>828</v>
      </c>
      <c r="I10" s="183">
        <v>924</v>
      </c>
      <c r="J10" s="183">
        <v>1010</v>
      </c>
      <c r="K10" s="183">
        <v>1285</v>
      </c>
      <c r="L10" s="183">
        <v>2218</v>
      </c>
      <c r="M10" s="183">
        <v>4141</v>
      </c>
      <c r="N10" s="183">
        <v>4557</v>
      </c>
      <c r="O10" s="183">
        <v>5119</v>
      </c>
      <c r="P10" s="183">
        <v>6053</v>
      </c>
      <c r="Q10" s="183">
        <v>4195</v>
      </c>
      <c r="R10" s="183">
        <v>3566</v>
      </c>
      <c r="S10" s="183">
        <v>3107</v>
      </c>
      <c r="T10" s="183">
        <v>2286</v>
      </c>
      <c r="U10" s="183">
        <v>1311</v>
      </c>
      <c r="V10" s="183">
        <v>1417</v>
      </c>
      <c r="W10" s="183">
        <v>2339</v>
      </c>
      <c r="X10" s="183">
        <v>4500</v>
      </c>
      <c r="Y10" s="183">
        <v>4826</v>
      </c>
      <c r="Z10" s="183">
        <v>7629</v>
      </c>
      <c r="AA10" s="184">
        <v>7160</v>
      </c>
      <c r="AB10" s="184">
        <v>5866</v>
      </c>
      <c r="AC10" s="184">
        <v>4151</v>
      </c>
      <c r="AD10" s="184">
        <v>3718</v>
      </c>
      <c r="AE10" s="184">
        <v>2760</v>
      </c>
      <c r="AF10" s="184">
        <v>3316</v>
      </c>
      <c r="AG10" s="184">
        <v>3207</v>
      </c>
      <c r="AH10" s="184">
        <v>1386</v>
      </c>
      <c r="AI10" s="184">
        <v>1650</v>
      </c>
      <c r="AJ10" s="184">
        <v>3689</v>
      </c>
      <c r="AK10" s="184">
        <v>5143</v>
      </c>
      <c r="AL10" s="184">
        <v>6186</v>
      </c>
      <c r="AM10" s="184">
        <v>6584</v>
      </c>
      <c r="AN10" s="184">
        <v>6161</v>
      </c>
      <c r="AO10" s="184">
        <v>4280</v>
      </c>
      <c r="AP10" s="184">
        <v>2847</v>
      </c>
      <c r="AQ10" s="184">
        <v>3520</v>
      </c>
      <c r="AR10" s="184">
        <v>4296</v>
      </c>
      <c r="AS10" s="184">
        <v>3153</v>
      </c>
      <c r="AT10" s="184">
        <v>1718</v>
      </c>
      <c r="AU10" s="184">
        <v>1819</v>
      </c>
      <c r="AV10" s="184">
        <v>3932</v>
      </c>
    </row>
    <row customHeight="true" ht="13" r="11">
      <c r="A11" s="185">
        <v>10</v>
      </c>
      <c r="B11" s="182" t="s">
        <v>314</v>
      </c>
      <c r="C11" s="183">
        <v>2297</v>
      </c>
      <c r="D11" s="183">
        <v>2709</v>
      </c>
      <c r="E11" s="183">
        <v>1827</v>
      </c>
      <c r="F11" s="183">
        <v>1405</v>
      </c>
      <c r="G11" s="183">
        <v>1023</v>
      </c>
      <c r="H11" s="183">
        <v>813</v>
      </c>
      <c r="I11" s="183">
        <v>921</v>
      </c>
      <c r="J11" s="183">
        <v>907</v>
      </c>
      <c r="K11" s="183">
        <v>1215</v>
      </c>
      <c r="L11" s="183">
        <v>1911</v>
      </c>
      <c r="M11" s="183">
        <v>4049</v>
      </c>
      <c r="N11" s="183">
        <v>4452</v>
      </c>
      <c r="O11" s="183">
        <v>4935</v>
      </c>
      <c r="P11" s="183">
        <v>5848</v>
      </c>
      <c r="Q11" s="183">
        <v>4169</v>
      </c>
      <c r="R11" s="183">
        <v>3045</v>
      </c>
      <c r="S11" s="183">
        <v>1749</v>
      </c>
      <c r="T11" s="183">
        <v>2130</v>
      </c>
      <c r="U11" s="183">
        <v>1286</v>
      </c>
      <c r="V11" s="183">
        <v>1239</v>
      </c>
      <c r="W11" s="183">
        <v>2225</v>
      </c>
      <c r="X11" s="183">
        <v>3732</v>
      </c>
      <c r="Y11" s="183">
        <v>4430</v>
      </c>
      <c r="Z11" s="183">
        <v>6895</v>
      </c>
      <c r="AA11" s="184">
        <v>6856</v>
      </c>
      <c r="AB11" s="184">
        <v>4842</v>
      </c>
      <c r="AC11" s="184">
        <v>3629</v>
      </c>
      <c r="AD11" s="184">
        <v>3208</v>
      </c>
      <c r="AE11" s="184">
        <v>2197</v>
      </c>
      <c r="AF11" s="184">
        <v>3127</v>
      </c>
      <c r="AG11" s="184">
        <v>3187</v>
      </c>
      <c r="AH11" s="184">
        <v>1371</v>
      </c>
      <c r="AI11" s="184">
        <v>1570</v>
      </c>
      <c r="AJ11" s="184">
        <v>3211</v>
      </c>
      <c r="AK11" s="184">
        <v>5143</v>
      </c>
      <c r="AL11" s="184">
        <v>5239</v>
      </c>
      <c r="AM11" s="184">
        <v>5656</v>
      </c>
      <c r="AN11" s="184">
        <v>6075</v>
      </c>
      <c r="AO11" s="184">
        <v>3832</v>
      </c>
      <c r="AP11" s="184">
        <v>2471</v>
      </c>
      <c r="AQ11" s="184">
        <v>3104</v>
      </c>
      <c r="AR11" s="184">
        <v>3100</v>
      </c>
      <c r="AS11" s="184">
        <v>3125</v>
      </c>
      <c r="AT11" s="184">
        <v>1702</v>
      </c>
      <c r="AU11" s="184">
        <v>1582</v>
      </c>
      <c r="AV11" s="184">
        <v>3858</v>
      </c>
    </row>
    <row customHeight="true" ht="13" r="12">
      <c r="A12" s="181">
        <v>11</v>
      </c>
      <c r="B12" s="182" t="s">
        <v>315</v>
      </c>
      <c r="C12" s="183">
        <v>2242</v>
      </c>
      <c r="D12" s="183">
        <v>2707</v>
      </c>
      <c r="E12" s="183">
        <v>1784</v>
      </c>
      <c r="F12" s="183">
        <v>1270</v>
      </c>
      <c r="G12" s="183">
        <v>1017</v>
      </c>
      <c r="H12" s="183">
        <v>769</v>
      </c>
      <c r="I12" s="183">
        <v>918</v>
      </c>
      <c r="J12" s="183">
        <v>839</v>
      </c>
      <c r="K12" s="183">
        <v>1153</v>
      </c>
      <c r="L12" s="183">
        <v>1907</v>
      </c>
      <c r="M12" s="183">
        <v>3391</v>
      </c>
      <c r="N12" s="183">
        <v>4404</v>
      </c>
      <c r="O12" s="183">
        <v>4232</v>
      </c>
      <c r="P12" s="183">
        <v>5728</v>
      </c>
      <c r="Q12" s="183">
        <v>2715</v>
      </c>
      <c r="R12" s="183">
        <v>2626</v>
      </c>
      <c r="S12" s="183">
        <v>1658</v>
      </c>
      <c r="T12" s="183">
        <v>1996</v>
      </c>
      <c r="U12" s="183">
        <v>1137</v>
      </c>
      <c r="V12" s="183">
        <v>1073</v>
      </c>
      <c r="W12" s="183">
        <v>1841</v>
      </c>
      <c r="X12" s="183">
        <v>3476</v>
      </c>
      <c r="Y12" s="183">
        <v>4241</v>
      </c>
      <c r="Z12" s="183">
        <v>6648</v>
      </c>
      <c r="AA12" s="184">
        <v>5966</v>
      </c>
      <c r="AB12" s="184">
        <v>4491</v>
      </c>
      <c r="AC12" s="184">
        <v>3343</v>
      </c>
      <c r="AD12" s="184">
        <v>2879</v>
      </c>
      <c r="AE12" s="184">
        <v>2181</v>
      </c>
      <c r="AF12" s="184">
        <v>2393</v>
      </c>
      <c r="AG12" s="184">
        <v>3183</v>
      </c>
      <c r="AH12" s="184">
        <v>1264</v>
      </c>
      <c r="AI12" s="184">
        <v>1507</v>
      </c>
      <c r="AJ12" s="184">
        <v>3116</v>
      </c>
      <c r="AK12" s="184">
        <v>4851</v>
      </c>
      <c r="AL12" s="184">
        <v>5186</v>
      </c>
      <c r="AM12" s="184">
        <v>5632</v>
      </c>
      <c r="AN12" s="184">
        <v>5836</v>
      </c>
      <c r="AO12" s="184">
        <v>3599</v>
      </c>
      <c r="AP12" s="184">
        <v>2437</v>
      </c>
      <c r="AQ12" s="184">
        <v>3080</v>
      </c>
      <c r="AR12" s="184">
        <v>3024</v>
      </c>
      <c r="AS12" s="184">
        <v>3122</v>
      </c>
      <c r="AT12" s="184">
        <v>1674</v>
      </c>
      <c r="AU12" s="184">
        <v>1377</v>
      </c>
      <c r="AV12" s="184">
        <v>3677</v>
      </c>
    </row>
    <row customHeight="true" ht="13" r="13">
      <c r="A13" s="185">
        <v>12</v>
      </c>
      <c r="B13" s="182" t="s">
        <v>315</v>
      </c>
      <c r="C13" s="183">
        <v>2145</v>
      </c>
      <c r="D13" s="183">
        <v>2557</v>
      </c>
      <c r="E13" s="183">
        <v>1761</v>
      </c>
      <c r="F13" s="183">
        <v>1265</v>
      </c>
      <c r="G13" s="183">
        <v>963</v>
      </c>
      <c r="H13" s="183">
        <v>750</v>
      </c>
      <c r="I13" s="183">
        <v>796</v>
      </c>
      <c r="J13" s="183">
        <v>688</v>
      </c>
      <c r="K13" s="183">
        <v>1038</v>
      </c>
      <c r="L13" s="183">
        <v>1810</v>
      </c>
      <c r="M13" s="183">
        <v>3357</v>
      </c>
      <c r="N13" s="183">
        <v>4335</v>
      </c>
      <c r="O13" s="183">
        <v>3401</v>
      </c>
      <c r="P13" s="183">
        <v>5444</v>
      </c>
      <c r="Q13" s="183">
        <v>2631</v>
      </c>
      <c r="R13" s="183">
        <v>2510</v>
      </c>
      <c r="S13" s="183">
        <v>1595</v>
      </c>
      <c r="T13" s="183">
        <v>1935</v>
      </c>
      <c r="U13" s="183">
        <v>1109</v>
      </c>
      <c r="V13" s="183">
        <v>1031</v>
      </c>
      <c r="W13" s="183">
        <v>1787</v>
      </c>
      <c r="X13" s="183">
        <v>3397</v>
      </c>
      <c r="Y13" s="183">
        <v>4214</v>
      </c>
      <c r="Z13" s="183">
        <v>6382</v>
      </c>
      <c r="AA13" s="184">
        <v>5837</v>
      </c>
      <c r="AB13" s="184">
        <v>4226</v>
      </c>
      <c r="AC13" s="184">
        <v>3282</v>
      </c>
      <c r="AD13" s="184">
        <v>2861</v>
      </c>
      <c r="AE13" s="184">
        <v>2170</v>
      </c>
      <c r="AF13" s="184">
        <v>2219</v>
      </c>
      <c r="AG13" s="184">
        <v>3175</v>
      </c>
      <c r="AH13" s="184">
        <v>1247</v>
      </c>
      <c r="AI13" s="184">
        <v>1307</v>
      </c>
      <c r="AJ13" s="184">
        <v>2751</v>
      </c>
      <c r="AK13" s="184">
        <v>4552</v>
      </c>
      <c r="AL13" s="184">
        <v>5070</v>
      </c>
      <c r="AM13" s="184">
        <v>5631</v>
      </c>
      <c r="AN13" s="184">
        <v>5250</v>
      </c>
      <c r="AO13" s="184">
        <v>2920</v>
      </c>
      <c r="AP13" s="184">
        <v>2281</v>
      </c>
      <c r="AQ13" s="184">
        <v>2395</v>
      </c>
      <c r="AR13" s="184">
        <v>2970</v>
      </c>
      <c r="AS13" s="184">
        <v>3115</v>
      </c>
      <c r="AT13" s="184">
        <v>1462</v>
      </c>
      <c r="AU13" s="184">
        <v>1373</v>
      </c>
      <c r="AV13" s="184">
        <v>3266</v>
      </c>
    </row>
    <row customHeight="true" ht="13" r="14">
      <c r="A14" s="181">
        <v>13</v>
      </c>
      <c r="B14" s="182" t="s">
        <v>315</v>
      </c>
      <c r="C14" s="183">
        <v>2102</v>
      </c>
      <c r="D14" s="183">
        <v>2411</v>
      </c>
      <c r="E14" s="183">
        <v>1731</v>
      </c>
      <c r="F14" s="183">
        <v>1240</v>
      </c>
      <c r="G14" s="183">
        <v>922</v>
      </c>
      <c r="H14" s="183">
        <v>748</v>
      </c>
      <c r="I14" s="183">
        <v>745</v>
      </c>
      <c r="J14" s="183">
        <v>688</v>
      </c>
      <c r="K14" s="183">
        <v>1034</v>
      </c>
      <c r="L14" s="183">
        <v>1710</v>
      </c>
      <c r="M14" s="183">
        <v>3297</v>
      </c>
      <c r="N14" s="183">
        <v>4226</v>
      </c>
      <c r="O14" s="183">
        <v>3350</v>
      </c>
      <c r="P14" s="183">
        <v>4528</v>
      </c>
      <c r="Q14" s="183">
        <v>2312</v>
      </c>
      <c r="R14" s="183">
        <v>2010</v>
      </c>
      <c r="S14" s="183">
        <v>1514</v>
      </c>
      <c r="T14" s="183">
        <v>1854</v>
      </c>
      <c r="U14" s="183">
        <v>925</v>
      </c>
      <c r="V14" s="183">
        <v>1006</v>
      </c>
      <c r="W14" s="183">
        <v>1725</v>
      </c>
      <c r="X14" s="183">
        <v>3165</v>
      </c>
      <c r="Y14" s="183">
        <v>4035</v>
      </c>
      <c r="Z14" s="183">
        <v>5332</v>
      </c>
      <c r="AA14" s="184">
        <v>5187</v>
      </c>
      <c r="AB14" s="184">
        <v>3982</v>
      </c>
      <c r="AC14" s="184">
        <v>3218</v>
      </c>
      <c r="AD14" s="184">
        <v>2631</v>
      </c>
      <c r="AE14" s="184">
        <v>1845</v>
      </c>
      <c r="AF14" s="184">
        <v>1845</v>
      </c>
      <c r="AG14" s="184">
        <v>2974</v>
      </c>
      <c r="AH14" s="184">
        <v>1180</v>
      </c>
      <c r="AI14" s="184">
        <v>1232</v>
      </c>
      <c r="AJ14" s="184">
        <v>2514</v>
      </c>
      <c r="AK14" s="184">
        <v>4284</v>
      </c>
      <c r="AL14" s="184">
        <v>4889</v>
      </c>
      <c r="AM14" s="184">
        <v>4931</v>
      </c>
      <c r="AN14" s="184">
        <v>5037</v>
      </c>
      <c r="AO14" s="184">
        <v>2868</v>
      </c>
      <c r="AP14" s="184">
        <v>2157</v>
      </c>
      <c r="AQ14" s="184">
        <v>2394</v>
      </c>
      <c r="AR14" s="184">
        <v>2810</v>
      </c>
      <c r="AS14" s="184">
        <v>3102</v>
      </c>
      <c r="AT14" s="184">
        <v>1369</v>
      </c>
      <c r="AU14" s="184">
        <v>1264</v>
      </c>
      <c r="AV14" s="184">
        <v>3225</v>
      </c>
    </row>
    <row customHeight="true" ht="13" r="15">
      <c r="A15" s="185">
        <v>14</v>
      </c>
      <c r="B15" s="182" t="s">
        <v>315</v>
      </c>
      <c r="C15" s="183">
        <v>1911</v>
      </c>
      <c r="D15" s="183">
        <v>2264</v>
      </c>
      <c r="E15" s="183">
        <v>1666</v>
      </c>
      <c r="F15" s="183">
        <v>1027</v>
      </c>
      <c r="G15" s="183">
        <v>872</v>
      </c>
      <c r="H15" s="183">
        <v>738</v>
      </c>
      <c r="I15" s="183">
        <v>743</v>
      </c>
      <c r="J15" s="183">
        <v>684</v>
      </c>
      <c r="K15" s="183">
        <v>1013</v>
      </c>
      <c r="L15" s="183">
        <v>1667</v>
      </c>
      <c r="M15" s="183">
        <v>3288</v>
      </c>
      <c r="N15" s="183">
        <v>4167</v>
      </c>
      <c r="O15" s="183">
        <v>3239</v>
      </c>
      <c r="P15" s="183">
        <v>4514</v>
      </c>
      <c r="Q15" s="183">
        <v>2191</v>
      </c>
      <c r="R15" s="183">
        <v>1694</v>
      </c>
      <c r="S15" s="183">
        <v>1465</v>
      </c>
      <c r="T15" s="183">
        <v>1834</v>
      </c>
      <c r="U15" s="183">
        <v>924</v>
      </c>
      <c r="V15" s="183">
        <v>887</v>
      </c>
      <c r="W15" s="183">
        <v>1700</v>
      </c>
      <c r="X15" s="183">
        <v>2586</v>
      </c>
      <c r="Y15" s="183">
        <v>3528</v>
      </c>
      <c r="Z15" s="183">
        <v>5274</v>
      </c>
      <c r="AA15" s="184">
        <v>4995</v>
      </c>
      <c r="AB15" s="184">
        <v>3909</v>
      </c>
      <c r="AC15" s="184">
        <v>3187</v>
      </c>
      <c r="AD15" s="184">
        <v>2624</v>
      </c>
      <c r="AE15" s="184">
        <v>1825</v>
      </c>
      <c r="AF15" s="184">
        <v>1665</v>
      </c>
      <c r="AG15" s="184">
        <v>2778</v>
      </c>
      <c r="AH15" s="184">
        <v>1179</v>
      </c>
      <c r="AI15" s="184">
        <v>1184</v>
      </c>
      <c r="AJ15" s="184">
        <v>2317</v>
      </c>
      <c r="AK15" s="184">
        <v>4274</v>
      </c>
      <c r="AL15" s="184">
        <v>4826</v>
      </c>
      <c r="AM15" s="184">
        <v>4588</v>
      </c>
      <c r="AN15" s="184">
        <v>4827</v>
      </c>
      <c r="AO15" s="184">
        <v>2866</v>
      </c>
      <c r="AP15" s="184">
        <v>2137</v>
      </c>
      <c r="AQ15" s="184">
        <v>2271</v>
      </c>
      <c r="AR15" s="184">
        <v>2781</v>
      </c>
      <c r="AS15" s="184">
        <v>3037</v>
      </c>
      <c r="AT15" s="184">
        <v>1118</v>
      </c>
      <c r="AU15" s="184">
        <v>1157</v>
      </c>
      <c r="AV15" s="184">
        <v>3070</v>
      </c>
    </row>
    <row customHeight="true" ht="13" r="16">
      <c r="A16" s="181">
        <v>15</v>
      </c>
      <c r="B16" s="182" t="s">
        <v>315</v>
      </c>
      <c r="C16" s="183">
        <v>1871</v>
      </c>
      <c r="D16" s="183">
        <v>2039</v>
      </c>
      <c r="E16" s="183">
        <v>1550</v>
      </c>
      <c r="F16" s="183">
        <v>980</v>
      </c>
      <c r="G16" s="183">
        <v>847</v>
      </c>
      <c r="H16" s="183">
        <v>737</v>
      </c>
      <c r="I16" s="183">
        <v>735</v>
      </c>
      <c r="J16" s="183">
        <v>656</v>
      </c>
      <c r="K16" s="183">
        <v>1001</v>
      </c>
      <c r="L16" s="183">
        <v>1662</v>
      </c>
      <c r="M16" s="183">
        <v>3246</v>
      </c>
      <c r="N16" s="183">
        <v>4035</v>
      </c>
      <c r="O16" s="183">
        <v>2863</v>
      </c>
      <c r="P16" s="183">
        <v>3972</v>
      </c>
      <c r="Q16" s="183">
        <v>2118</v>
      </c>
      <c r="R16" s="183">
        <v>1619</v>
      </c>
      <c r="S16" s="183">
        <v>1452</v>
      </c>
      <c r="T16" s="183">
        <v>1570</v>
      </c>
      <c r="U16" s="183">
        <v>861</v>
      </c>
      <c r="V16" s="183">
        <v>843</v>
      </c>
      <c r="W16" s="183">
        <v>1684</v>
      </c>
      <c r="X16" s="183">
        <v>2532</v>
      </c>
      <c r="Y16" s="183">
        <v>3354</v>
      </c>
      <c r="Z16" s="183">
        <v>4839</v>
      </c>
      <c r="AA16" s="184">
        <v>4744</v>
      </c>
      <c r="AB16" s="184">
        <v>3485</v>
      </c>
      <c r="AC16" s="184">
        <v>2419</v>
      </c>
      <c r="AD16" s="184">
        <v>2406</v>
      </c>
      <c r="AE16" s="184">
        <v>1793</v>
      </c>
      <c r="AF16" s="184">
        <v>1613</v>
      </c>
      <c r="AG16" s="184">
        <v>2439</v>
      </c>
      <c r="AH16" s="184">
        <v>1126</v>
      </c>
      <c r="AI16" s="184">
        <v>1150</v>
      </c>
      <c r="AJ16" s="184">
        <v>2254</v>
      </c>
      <c r="AK16" s="184">
        <v>4055</v>
      </c>
      <c r="AL16" s="184">
        <v>4551</v>
      </c>
      <c r="AM16" s="184">
        <v>4573</v>
      </c>
      <c r="AN16" s="184">
        <v>4597</v>
      </c>
      <c r="AO16" s="184">
        <v>2793</v>
      </c>
      <c r="AP16" s="184">
        <v>2111</v>
      </c>
      <c r="AQ16" s="184">
        <v>2264</v>
      </c>
      <c r="AR16" s="184">
        <v>2774</v>
      </c>
      <c r="AS16" s="184">
        <v>2981</v>
      </c>
      <c r="AT16" s="184">
        <v>1028</v>
      </c>
      <c r="AU16" s="184">
        <v>1130</v>
      </c>
      <c r="AV16" s="184">
        <v>2925</v>
      </c>
    </row>
    <row customHeight="true" ht="13" r="17">
      <c r="A17" s="185">
        <v>16</v>
      </c>
      <c r="B17" s="182" t="s">
        <v>316</v>
      </c>
      <c r="C17" s="183">
        <v>1796</v>
      </c>
      <c r="D17" s="183">
        <v>2038</v>
      </c>
      <c r="E17" s="183">
        <v>1462</v>
      </c>
      <c r="F17" s="183">
        <v>979</v>
      </c>
      <c r="G17" s="183">
        <v>742</v>
      </c>
      <c r="H17" s="183">
        <v>695</v>
      </c>
      <c r="I17" s="183">
        <v>735</v>
      </c>
      <c r="J17" s="183">
        <v>656</v>
      </c>
      <c r="K17" s="183">
        <v>1001</v>
      </c>
      <c r="L17" s="183">
        <v>1612</v>
      </c>
      <c r="M17" s="183">
        <v>3155</v>
      </c>
      <c r="N17" s="183">
        <v>3929</v>
      </c>
      <c r="O17" s="183">
        <v>2780</v>
      </c>
      <c r="P17" s="183">
        <v>3482</v>
      </c>
      <c r="Q17" s="183">
        <v>2057</v>
      </c>
      <c r="R17" s="183">
        <v>1500</v>
      </c>
      <c r="S17" s="183">
        <v>1375</v>
      </c>
      <c r="T17" s="183">
        <v>1441</v>
      </c>
      <c r="U17" s="183">
        <v>828</v>
      </c>
      <c r="V17" s="183">
        <v>818</v>
      </c>
      <c r="W17" s="183">
        <v>1270</v>
      </c>
      <c r="X17" s="183">
        <v>2222</v>
      </c>
      <c r="Y17" s="183">
        <v>3301</v>
      </c>
      <c r="Z17" s="183">
        <v>4722</v>
      </c>
      <c r="AA17" s="184">
        <v>4284</v>
      </c>
      <c r="AB17" s="184">
        <v>3469</v>
      </c>
      <c r="AC17" s="184">
        <v>2353</v>
      </c>
      <c r="AD17" s="184">
        <v>2338</v>
      </c>
      <c r="AE17" s="184">
        <v>1506</v>
      </c>
      <c r="AF17" s="184">
        <v>1572</v>
      </c>
      <c r="AG17" s="184">
        <v>2359</v>
      </c>
      <c r="AH17" s="184">
        <v>1124</v>
      </c>
      <c r="AI17" s="184">
        <v>1102</v>
      </c>
      <c r="AJ17" s="184">
        <v>2132</v>
      </c>
      <c r="AK17" s="184">
        <v>3308</v>
      </c>
      <c r="AL17" s="184">
        <v>4203</v>
      </c>
      <c r="AM17" s="184">
        <v>4518</v>
      </c>
      <c r="AN17" s="184">
        <v>4556</v>
      </c>
      <c r="AO17" s="184">
        <v>2512</v>
      </c>
      <c r="AP17" s="184">
        <v>2102</v>
      </c>
      <c r="AQ17" s="184">
        <v>2253</v>
      </c>
      <c r="AR17" s="184">
        <v>2772</v>
      </c>
      <c r="AS17" s="184">
        <v>2963</v>
      </c>
      <c r="AT17" s="186">
        <v>962</v>
      </c>
      <c r="AU17" s="184">
        <v>1066</v>
      </c>
      <c r="AV17" s="184">
        <v>2906</v>
      </c>
    </row>
    <row customHeight="true" ht="13" r="18">
      <c r="A18" s="181">
        <v>17</v>
      </c>
      <c r="B18" s="182" t="s">
        <v>316</v>
      </c>
      <c r="C18" s="183">
        <v>1350</v>
      </c>
      <c r="D18" s="183">
        <v>1985</v>
      </c>
      <c r="E18" s="183">
        <v>1364</v>
      </c>
      <c r="F18" s="183">
        <v>952</v>
      </c>
      <c r="G18" s="183">
        <v>699</v>
      </c>
      <c r="H18" s="183">
        <v>691</v>
      </c>
      <c r="I18" s="183">
        <v>572</v>
      </c>
      <c r="J18" s="183">
        <v>638</v>
      </c>
      <c r="K18" s="183">
        <v>996</v>
      </c>
      <c r="L18" s="183">
        <v>1584</v>
      </c>
      <c r="M18" s="183">
        <v>3087</v>
      </c>
      <c r="N18" s="183">
        <v>3532</v>
      </c>
      <c r="O18" s="183">
        <v>2512</v>
      </c>
      <c r="P18" s="183">
        <v>2906</v>
      </c>
      <c r="Q18" s="183">
        <v>1864</v>
      </c>
      <c r="R18" s="183">
        <v>1471</v>
      </c>
      <c r="S18" s="183">
        <v>1362</v>
      </c>
      <c r="T18" s="183">
        <v>1378</v>
      </c>
      <c r="U18" s="183">
        <v>822</v>
      </c>
      <c r="V18" s="183">
        <v>801</v>
      </c>
      <c r="W18" s="183">
        <v>1097</v>
      </c>
      <c r="X18" s="183">
        <v>2067</v>
      </c>
      <c r="Y18" s="183">
        <v>3235</v>
      </c>
      <c r="Z18" s="183">
        <v>4449</v>
      </c>
      <c r="AA18" s="184">
        <v>4223</v>
      </c>
      <c r="AB18" s="184">
        <v>3382</v>
      </c>
      <c r="AC18" s="184">
        <v>2353</v>
      </c>
      <c r="AD18" s="184">
        <v>1834</v>
      </c>
      <c r="AE18" s="184">
        <v>1483</v>
      </c>
      <c r="AF18" s="184">
        <v>1508</v>
      </c>
      <c r="AG18" s="184">
        <v>2255</v>
      </c>
      <c r="AH18" s="184">
        <v>1056</v>
      </c>
      <c r="AI18" s="184">
        <v>1025</v>
      </c>
      <c r="AJ18" s="184">
        <v>2119</v>
      </c>
      <c r="AK18" s="184">
        <v>3080</v>
      </c>
      <c r="AL18" s="184">
        <v>4175</v>
      </c>
      <c r="AM18" s="184">
        <v>4476</v>
      </c>
      <c r="AN18" s="184">
        <v>4386</v>
      </c>
      <c r="AO18" s="184">
        <v>2476</v>
      </c>
      <c r="AP18" s="184">
        <v>1984</v>
      </c>
      <c r="AQ18" s="184">
        <v>2172</v>
      </c>
      <c r="AR18" s="184">
        <v>2486</v>
      </c>
      <c r="AS18" s="184">
        <v>2563</v>
      </c>
      <c r="AT18" s="186">
        <v>918</v>
      </c>
      <c r="AU18" s="184">
        <v>1054</v>
      </c>
      <c r="AV18" s="184">
        <v>2862</v>
      </c>
    </row>
    <row customHeight="true" ht="13" r="19">
      <c r="A19" s="185">
        <v>18</v>
      </c>
      <c r="B19" s="182" t="s">
        <v>316</v>
      </c>
      <c r="C19" s="183">
        <v>1230</v>
      </c>
      <c r="D19" s="183">
        <v>1916</v>
      </c>
      <c r="E19" s="183">
        <v>1306</v>
      </c>
      <c r="F19" s="183">
        <v>946</v>
      </c>
      <c r="G19" s="183">
        <v>633</v>
      </c>
      <c r="H19" s="183">
        <v>652</v>
      </c>
      <c r="I19" s="183">
        <v>564</v>
      </c>
      <c r="J19" s="183">
        <v>636</v>
      </c>
      <c r="K19" s="183">
        <v>980</v>
      </c>
      <c r="L19" s="183">
        <v>1575</v>
      </c>
      <c r="M19" s="183">
        <v>2946</v>
      </c>
      <c r="N19" s="183">
        <v>3516</v>
      </c>
      <c r="O19" s="183">
        <v>2466</v>
      </c>
      <c r="P19" s="183">
        <v>2858</v>
      </c>
      <c r="Q19" s="183">
        <v>1854</v>
      </c>
      <c r="R19" s="183">
        <v>1438</v>
      </c>
      <c r="S19" s="183">
        <v>1345</v>
      </c>
      <c r="T19" s="183">
        <v>1278</v>
      </c>
      <c r="U19" s="183">
        <v>795</v>
      </c>
      <c r="V19" s="183">
        <v>784</v>
      </c>
      <c r="W19" s="183">
        <v>989</v>
      </c>
      <c r="X19" s="183">
        <v>2051</v>
      </c>
      <c r="Y19" s="183">
        <v>3172</v>
      </c>
      <c r="Z19" s="183">
        <v>4302</v>
      </c>
      <c r="AA19" s="184">
        <v>3806</v>
      </c>
      <c r="AB19" s="184">
        <v>3346</v>
      </c>
      <c r="AC19" s="184">
        <v>2341</v>
      </c>
      <c r="AD19" s="184">
        <v>1834</v>
      </c>
      <c r="AE19" s="184">
        <v>1454</v>
      </c>
      <c r="AF19" s="184">
        <v>1304</v>
      </c>
      <c r="AG19" s="184">
        <v>2145</v>
      </c>
      <c r="AH19" s="184">
        <v>1041</v>
      </c>
      <c r="AI19" s="184">
        <v>1003</v>
      </c>
      <c r="AJ19" s="184">
        <v>2067</v>
      </c>
      <c r="AK19" s="184">
        <v>3067</v>
      </c>
      <c r="AL19" s="184">
        <v>4150</v>
      </c>
      <c r="AM19" s="184">
        <v>4190</v>
      </c>
      <c r="AN19" s="184">
        <v>3687</v>
      </c>
      <c r="AO19" s="184">
        <v>2476</v>
      </c>
      <c r="AP19" s="184">
        <v>1899</v>
      </c>
      <c r="AQ19" s="184">
        <v>2170</v>
      </c>
      <c r="AR19" s="184">
        <v>2008</v>
      </c>
      <c r="AS19" s="184">
        <v>2462</v>
      </c>
      <c r="AT19" s="186">
        <v>906</v>
      </c>
      <c r="AU19" s="184">
        <v>1047</v>
      </c>
      <c r="AV19" s="184">
        <v>2842</v>
      </c>
    </row>
    <row customHeight="true" ht="13" r="20">
      <c r="A20" s="181">
        <v>19</v>
      </c>
      <c r="B20" s="182" t="s">
        <v>316</v>
      </c>
      <c r="C20" s="183">
        <v>1223</v>
      </c>
      <c r="D20" s="183">
        <v>1756</v>
      </c>
      <c r="E20" s="183">
        <v>1303</v>
      </c>
      <c r="F20" s="183">
        <v>899</v>
      </c>
      <c r="G20" s="183">
        <v>626</v>
      </c>
      <c r="H20" s="183">
        <v>638</v>
      </c>
      <c r="I20" s="183">
        <v>532</v>
      </c>
      <c r="J20" s="183">
        <v>614</v>
      </c>
      <c r="K20" s="183">
        <v>974</v>
      </c>
      <c r="L20" s="183">
        <v>1571</v>
      </c>
      <c r="M20" s="183">
        <v>2795</v>
      </c>
      <c r="N20" s="183">
        <v>3363</v>
      </c>
      <c r="O20" s="183">
        <v>2419</v>
      </c>
      <c r="P20" s="183">
        <v>2855</v>
      </c>
      <c r="Q20" s="183">
        <v>1692</v>
      </c>
      <c r="R20" s="183">
        <v>1418</v>
      </c>
      <c r="S20" s="183">
        <v>1235</v>
      </c>
      <c r="T20" s="183">
        <v>1233</v>
      </c>
      <c r="U20" s="183">
        <v>777</v>
      </c>
      <c r="V20" s="183">
        <v>750</v>
      </c>
      <c r="W20" s="183">
        <v>914</v>
      </c>
      <c r="X20" s="183">
        <v>1856</v>
      </c>
      <c r="Y20" s="183">
        <v>3053</v>
      </c>
      <c r="Z20" s="183">
        <v>3633</v>
      </c>
      <c r="AA20" s="184">
        <v>3718</v>
      </c>
      <c r="AB20" s="184">
        <v>3316</v>
      </c>
      <c r="AC20" s="184">
        <v>2274</v>
      </c>
      <c r="AD20" s="184">
        <v>1797</v>
      </c>
      <c r="AE20" s="184">
        <v>1437</v>
      </c>
      <c r="AF20" s="184">
        <v>1272</v>
      </c>
      <c r="AG20" s="184">
        <v>2048</v>
      </c>
      <c r="AH20" s="186">
        <v>868</v>
      </c>
      <c r="AI20" s="186">
        <v>982</v>
      </c>
      <c r="AJ20" s="184">
        <v>1979</v>
      </c>
      <c r="AK20" s="184">
        <v>3065</v>
      </c>
      <c r="AL20" s="184">
        <v>4148</v>
      </c>
      <c r="AM20" s="184">
        <v>4115</v>
      </c>
      <c r="AN20" s="184">
        <v>3523</v>
      </c>
      <c r="AO20" s="184">
        <v>2476</v>
      </c>
      <c r="AP20" s="184">
        <v>1870</v>
      </c>
      <c r="AQ20" s="184">
        <v>1940</v>
      </c>
      <c r="AR20" s="184">
        <v>1726</v>
      </c>
      <c r="AS20" s="184">
        <v>2364</v>
      </c>
      <c r="AT20" s="186">
        <v>905</v>
      </c>
      <c r="AU20" s="184">
        <v>1035</v>
      </c>
      <c r="AV20" s="184">
        <v>2814</v>
      </c>
    </row>
    <row customHeight="true" ht="13" r="21">
      <c r="A21" s="185">
        <v>20</v>
      </c>
      <c r="B21" s="182" t="s">
        <v>316</v>
      </c>
      <c r="C21" s="183">
        <v>1105</v>
      </c>
      <c r="D21" s="183">
        <v>1749</v>
      </c>
      <c r="E21" s="183">
        <v>1301</v>
      </c>
      <c r="F21" s="183">
        <v>893</v>
      </c>
      <c r="G21" s="183">
        <v>623</v>
      </c>
      <c r="H21" s="183">
        <v>608</v>
      </c>
      <c r="I21" s="183">
        <v>522</v>
      </c>
      <c r="J21" s="183">
        <v>607</v>
      </c>
      <c r="K21" s="183">
        <v>937</v>
      </c>
      <c r="L21" s="183">
        <v>1449</v>
      </c>
      <c r="M21" s="183">
        <v>2761</v>
      </c>
      <c r="N21" s="183">
        <v>3326</v>
      </c>
      <c r="O21" s="183">
        <v>2407</v>
      </c>
      <c r="P21" s="183">
        <v>2806</v>
      </c>
      <c r="Q21" s="183">
        <v>1626</v>
      </c>
      <c r="R21" s="183">
        <v>1341</v>
      </c>
      <c r="S21" s="183">
        <v>1223</v>
      </c>
      <c r="T21" s="183">
        <v>1208</v>
      </c>
      <c r="U21" s="183">
        <v>768</v>
      </c>
      <c r="V21" s="183">
        <v>715</v>
      </c>
      <c r="W21" s="183">
        <v>908</v>
      </c>
      <c r="X21" s="183">
        <v>1694</v>
      </c>
      <c r="Y21" s="183">
        <v>3049</v>
      </c>
      <c r="Z21" s="183">
        <v>3587</v>
      </c>
      <c r="AA21" s="184">
        <v>3565</v>
      </c>
      <c r="AB21" s="184">
        <v>2883</v>
      </c>
      <c r="AC21" s="184">
        <v>2162</v>
      </c>
      <c r="AD21" s="184">
        <v>1775</v>
      </c>
      <c r="AE21" s="184">
        <v>1399</v>
      </c>
      <c r="AF21" s="184">
        <v>1201</v>
      </c>
      <c r="AG21" s="184">
        <v>1754</v>
      </c>
      <c r="AH21" s="186">
        <v>811</v>
      </c>
      <c r="AI21" s="186">
        <v>938</v>
      </c>
      <c r="AJ21" s="184">
        <v>1978</v>
      </c>
      <c r="AK21" s="184">
        <v>3000</v>
      </c>
      <c r="AL21" s="184">
        <v>4067</v>
      </c>
      <c r="AM21" s="184">
        <v>3808</v>
      </c>
      <c r="AN21" s="184">
        <v>3513</v>
      </c>
      <c r="AO21" s="184">
        <v>2356</v>
      </c>
      <c r="AP21" s="184">
        <v>1680</v>
      </c>
      <c r="AQ21" s="184">
        <v>1871</v>
      </c>
      <c r="AR21" s="184">
        <v>1614</v>
      </c>
      <c r="AS21" s="184">
        <v>1990</v>
      </c>
      <c r="AT21" s="186">
        <v>876</v>
      </c>
      <c r="AU21" s="186">
        <v>974</v>
      </c>
      <c r="AV21" s="184">
        <v>2769</v>
      </c>
    </row>
    <row customHeight="true" ht="13" r="22">
      <c r="A22" s="181">
        <v>21</v>
      </c>
      <c r="B22" s="181" t="s">
        <v>317</v>
      </c>
      <c r="C22" s="183">
        <v>1054</v>
      </c>
      <c r="D22" s="183">
        <v>1680</v>
      </c>
      <c r="E22" s="183">
        <v>1214</v>
      </c>
      <c r="F22" s="183">
        <v>848</v>
      </c>
      <c r="G22" s="183">
        <v>622</v>
      </c>
      <c r="H22" s="183">
        <v>608</v>
      </c>
      <c r="I22" s="183">
        <v>461</v>
      </c>
      <c r="J22" s="183">
        <v>570</v>
      </c>
      <c r="K22" s="183">
        <v>814</v>
      </c>
      <c r="L22" s="183">
        <v>1362</v>
      </c>
      <c r="M22" s="183">
        <v>2722</v>
      </c>
      <c r="N22" s="183">
        <v>3313</v>
      </c>
      <c r="O22" s="183">
        <v>2363</v>
      </c>
      <c r="P22" s="183">
        <v>2712</v>
      </c>
      <c r="Q22" s="183">
        <v>1615</v>
      </c>
      <c r="R22" s="183">
        <v>1313</v>
      </c>
      <c r="S22" s="183">
        <v>1146</v>
      </c>
      <c r="T22" s="183">
        <v>1030</v>
      </c>
      <c r="U22" s="183">
        <v>718</v>
      </c>
      <c r="V22" s="183">
        <v>711</v>
      </c>
      <c r="W22" s="183">
        <v>904</v>
      </c>
      <c r="X22" s="183">
        <v>1600</v>
      </c>
      <c r="Y22" s="183">
        <v>2539</v>
      </c>
      <c r="Z22" s="183">
        <v>3438</v>
      </c>
      <c r="AA22" s="184">
        <v>3482</v>
      </c>
      <c r="AB22" s="184">
        <v>2771</v>
      </c>
      <c r="AC22" s="184">
        <v>2136</v>
      </c>
      <c r="AD22" s="184">
        <v>1527</v>
      </c>
      <c r="AE22" s="184">
        <v>1382</v>
      </c>
      <c r="AF22" s="184">
        <v>1197</v>
      </c>
      <c r="AG22" s="184">
        <v>1707</v>
      </c>
      <c r="AH22" s="186">
        <v>797</v>
      </c>
      <c r="AI22" s="186">
        <v>917</v>
      </c>
      <c r="AJ22" s="184">
        <v>1829</v>
      </c>
      <c r="AK22" s="184">
        <v>2919</v>
      </c>
      <c r="AL22" s="184">
        <v>3764</v>
      </c>
      <c r="AM22" s="184">
        <v>3732</v>
      </c>
      <c r="AN22" s="184">
        <v>3109</v>
      </c>
      <c r="AO22" s="184">
        <v>2215</v>
      </c>
      <c r="AP22" s="184">
        <v>1577</v>
      </c>
      <c r="AQ22" s="184">
        <v>1590</v>
      </c>
      <c r="AR22" s="184">
        <v>1611</v>
      </c>
      <c r="AS22" s="184">
        <v>1680</v>
      </c>
      <c r="AT22" s="186">
        <v>868</v>
      </c>
      <c r="AU22" s="186">
        <v>970</v>
      </c>
      <c r="AV22" s="184">
        <v>2533</v>
      </c>
    </row>
    <row customHeight="true" ht="13" r="23">
      <c r="A23" s="185">
        <v>22</v>
      </c>
      <c r="B23" s="181" t="s">
        <v>317</v>
      </c>
      <c r="C23" s="183">
        <v>981</v>
      </c>
      <c r="D23" s="183">
        <v>1616</v>
      </c>
      <c r="E23" s="183">
        <v>1082</v>
      </c>
      <c r="F23" s="183">
        <v>826</v>
      </c>
      <c r="G23" s="183">
        <v>604</v>
      </c>
      <c r="H23" s="183">
        <v>606</v>
      </c>
      <c r="I23" s="183">
        <v>461</v>
      </c>
      <c r="J23" s="183">
        <v>558</v>
      </c>
      <c r="K23" s="183">
        <v>775</v>
      </c>
      <c r="L23" s="183">
        <v>1320</v>
      </c>
      <c r="M23" s="183">
        <v>2638</v>
      </c>
      <c r="N23" s="183">
        <v>3161</v>
      </c>
      <c r="O23" s="183">
        <v>2355</v>
      </c>
      <c r="P23" s="183">
        <v>2685</v>
      </c>
      <c r="Q23" s="183">
        <v>1555</v>
      </c>
      <c r="R23" s="183">
        <v>1274</v>
      </c>
      <c r="S23" s="183">
        <v>1104</v>
      </c>
      <c r="T23" s="183">
        <v>989</v>
      </c>
      <c r="U23" s="183">
        <v>705</v>
      </c>
      <c r="V23" s="183">
        <v>672</v>
      </c>
      <c r="W23" s="183">
        <v>873</v>
      </c>
      <c r="X23" s="183">
        <v>1582</v>
      </c>
      <c r="Y23" s="183">
        <v>2479</v>
      </c>
      <c r="Z23" s="183">
        <v>3345</v>
      </c>
      <c r="AA23" s="184">
        <v>3468</v>
      </c>
      <c r="AB23" s="184">
        <v>2765</v>
      </c>
      <c r="AC23" s="184">
        <v>2059</v>
      </c>
      <c r="AD23" s="184">
        <v>1523</v>
      </c>
      <c r="AE23" s="184">
        <v>1333</v>
      </c>
      <c r="AF23" s="184">
        <v>1182</v>
      </c>
      <c r="AG23" s="184">
        <v>1314</v>
      </c>
      <c r="AH23" s="186">
        <v>731</v>
      </c>
      <c r="AI23" s="186">
        <v>893</v>
      </c>
      <c r="AJ23" s="184">
        <v>1795</v>
      </c>
      <c r="AK23" s="184">
        <v>2845</v>
      </c>
      <c r="AL23" s="184">
        <v>3729</v>
      </c>
      <c r="AM23" s="184">
        <v>3678</v>
      </c>
      <c r="AN23" s="184">
        <v>3058</v>
      </c>
      <c r="AO23" s="184">
        <v>2202</v>
      </c>
      <c r="AP23" s="184">
        <v>1532</v>
      </c>
      <c r="AQ23" s="184">
        <v>1512</v>
      </c>
      <c r="AR23" s="184">
        <v>1610</v>
      </c>
      <c r="AS23" s="184">
        <v>1580</v>
      </c>
      <c r="AT23" s="186">
        <v>805</v>
      </c>
      <c r="AU23" s="186">
        <v>937</v>
      </c>
      <c r="AV23" s="184">
        <v>2316</v>
      </c>
    </row>
    <row customHeight="true" ht="13" r="24">
      <c r="A24" s="181">
        <v>23</v>
      </c>
      <c r="B24" s="181" t="s">
        <v>317</v>
      </c>
      <c r="C24" s="183">
        <v>934</v>
      </c>
      <c r="D24" s="183">
        <v>1593</v>
      </c>
      <c r="E24" s="183">
        <v>1080</v>
      </c>
      <c r="F24" s="183">
        <v>822</v>
      </c>
      <c r="G24" s="183">
        <v>591</v>
      </c>
      <c r="H24" s="183">
        <v>595</v>
      </c>
      <c r="I24" s="183">
        <v>456</v>
      </c>
      <c r="J24" s="183">
        <v>536</v>
      </c>
      <c r="K24" s="183">
        <v>774</v>
      </c>
      <c r="L24" s="183">
        <v>1279</v>
      </c>
      <c r="M24" s="183">
        <v>2624</v>
      </c>
      <c r="N24" s="183">
        <v>2958</v>
      </c>
      <c r="O24" s="183">
        <v>2270</v>
      </c>
      <c r="P24" s="183">
        <v>2526</v>
      </c>
      <c r="Q24" s="183">
        <v>1503</v>
      </c>
      <c r="R24" s="183">
        <v>1263</v>
      </c>
      <c r="S24" s="183">
        <v>1092</v>
      </c>
      <c r="T24" s="183">
        <v>960</v>
      </c>
      <c r="U24" s="183">
        <v>702</v>
      </c>
      <c r="V24" s="183">
        <v>668</v>
      </c>
      <c r="W24" s="183">
        <v>872</v>
      </c>
      <c r="X24" s="183">
        <v>1539</v>
      </c>
      <c r="Y24" s="183">
        <v>2453</v>
      </c>
      <c r="Z24" s="183">
        <v>3326</v>
      </c>
      <c r="AA24" s="184">
        <v>3105</v>
      </c>
      <c r="AB24" s="184">
        <v>2760</v>
      </c>
      <c r="AC24" s="184">
        <v>2041</v>
      </c>
      <c r="AD24" s="184">
        <v>1521</v>
      </c>
      <c r="AE24" s="184">
        <v>1211</v>
      </c>
      <c r="AF24" s="184">
        <v>1110</v>
      </c>
      <c r="AG24" s="184">
        <v>1242</v>
      </c>
      <c r="AH24" s="186">
        <v>700</v>
      </c>
      <c r="AI24" s="186">
        <v>876</v>
      </c>
      <c r="AJ24" s="184">
        <v>1736</v>
      </c>
      <c r="AK24" s="184">
        <v>2820</v>
      </c>
      <c r="AL24" s="184">
        <v>3408</v>
      </c>
      <c r="AM24" s="184">
        <v>3579</v>
      </c>
      <c r="AN24" s="184">
        <v>2904</v>
      </c>
      <c r="AO24" s="184">
        <v>2118</v>
      </c>
      <c r="AP24" s="184">
        <v>1453</v>
      </c>
      <c r="AQ24" s="184">
        <v>1477</v>
      </c>
      <c r="AR24" s="184">
        <v>1608</v>
      </c>
      <c r="AS24" s="184">
        <v>1569</v>
      </c>
      <c r="AT24" s="186">
        <v>800</v>
      </c>
      <c r="AU24" s="186">
        <v>840</v>
      </c>
      <c r="AV24" s="184">
        <v>2311</v>
      </c>
    </row>
    <row customHeight="true" ht="13" r="25">
      <c r="A25" s="185">
        <v>24</v>
      </c>
      <c r="B25" s="181" t="s">
        <v>317</v>
      </c>
      <c r="C25" s="183">
        <v>920</v>
      </c>
      <c r="D25" s="183">
        <v>1455</v>
      </c>
      <c r="E25" s="183">
        <v>1080</v>
      </c>
      <c r="F25" s="183">
        <v>741</v>
      </c>
      <c r="G25" s="183">
        <v>579</v>
      </c>
      <c r="H25" s="183">
        <v>580</v>
      </c>
      <c r="I25" s="183">
        <v>456</v>
      </c>
      <c r="J25" s="183">
        <v>535</v>
      </c>
      <c r="K25" s="183">
        <v>759</v>
      </c>
      <c r="L25" s="183">
        <v>1278</v>
      </c>
      <c r="M25" s="183">
        <v>2564</v>
      </c>
      <c r="N25" s="183">
        <v>2914</v>
      </c>
      <c r="O25" s="183">
        <v>2268</v>
      </c>
      <c r="P25" s="183">
        <v>2403</v>
      </c>
      <c r="Q25" s="183">
        <v>1500</v>
      </c>
      <c r="R25" s="183">
        <v>1215</v>
      </c>
      <c r="S25" s="183">
        <v>1079</v>
      </c>
      <c r="T25" s="183">
        <v>947</v>
      </c>
      <c r="U25" s="183">
        <v>698</v>
      </c>
      <c r="V25" s="183">
        <v>615</v>
      </c>
      <c r="W25" s="183">
        <v>855</v>
      </c>
      <c r="X25" s="183">
        <v>1523</v>
      </c>
      <c r="Y25" s="183">
        <v>2438</v>
      </c>
      <c r="Z25" s="183">
        <v>3221</v>
      </c>
      <c r="AA25" s="184">
        <v>3060</v>
      </c>
      <c r="AB25" s="184">
        <v>2754</v>
      </c>
      <c r="AC25" s="184">
        <v>2022</v>
      </c>
      <c r="AD25" s="184">
        <v>1431</v>
      </c>
      <c r="AE25" s="184">
        <v>1205</v>
      </c>
      <c r="AF25" s="184">
        <v>1073</v>
      </c>
      <c r="AG25" s="184">
        <v>1232</v>
      </c>
      <c r="AH25" s="186">
        <v>684</v>
      </c>
      <c r="AI25" s="186">
        <v>867</v>
      </c>
      <c r="AJ25" s="184">
        <v>1718</v>
      </c>
      <c r="AK25" s="184">
        <v>2682</v>
      </c>
      <c r="AL25" s="184">
        <v>3323</v>
      </c>
      <c r="AM25" s="184">
        <v>3230</v>
      </c>
      <c r="AN25" s="184">
        <v>2899</v>
      </c>
      <c r="AO25" s="184">
        <v>1955</v>
      </c>
      <c r="AP25" s="184">
        <v>1449</v>
      </c>
      <c r="AQ25" s="184">
        <v>1401</v>
      </c>
      <c r="AR25" s="184">
        <v>1597</v>
      </c>
      <c r="AS25" s="184">
        <v>1521</v>
      </c>
      <c r="AT25" s="186">
        <v>786</v>
      </c>
      <c r="AU25" s="186">
        <v>834</v>
      </c>
      <c r="AV25" s="184">
        <v>2307</v>
      </c>
    </row>
    <row customHeight="true" ht="13" r="26">
      <c r="A26" s="181">
        <v>25</v>
      </c>
      <c r="B26" s="181" t="s">
        <v>317</v>
      </c>
      <c r="C26" s="183">
        <v>917</v>
      </c>
      <c r="D26" s="183">
        <v>1451</v>
      </c>
      <c r="E26" s="183">
        <v>1078</v>
      </c>
      <c r="F26" s="183">
        <v>708</v>
      </c>
      <c r="G26" s="183">
        <v>575</v>
      </c>
      <c r="H26" s="183">
        <v>574</v>
      </c>
      <c r="I26" s="183">
        <v>431</v>
      </c>
      <c r="J26" s="183">
        <v>526</v>
      </c>
      <c r="K26" s="183">
        <v>756</v>
      </c>
      <c r="L26" s="183">
        <v>1261</v>
      </c>
      <c r="M26" s="183">
        <v>2125</v>
      </c>
      <c r="N26" s="183">
        <v>2906</v>
      </c>
      <c r="O26" s="183">
        <v>2247</v>
      </c>
      <c r="P26" s="183">
        <v>2398</v>
      </c>
      <c r="Q26" s="183">
        <v>1434</v>
      </c>
      <c r="R26" s="183">
        <v>1215</v>
      </c>
      <c r="S26" s="183">
        <v>1077</v>
      </c>
      <c r="T26" s="183">
        <v>913</v>
      </c>
      <c r="U26" s="183">
        <v>694</v>
      </c>
      <c r="V26" s="183">
        <v>613</v>
      </c>
      <c r="W26" s="183">
        <v>853</v>
      </c>
      <c r="X26" s="183">
        <v>1457</v>
      </c>
      <c r="Y26" s="183">
        <v>2431</v>
      </c>
      <c r="Z26" s="183">
        <v>3155</v>
      </c>
      <c r="AA26" s="184">
        <v>3019</v>
      </c>
      <c r="AB26" s="184">
        <v>2688</v>
      </c>
      <c r="AC26" s="184">
        <v>1928</v>
      </c>
      <c r="AD26" s="184">
        <v>1392</v>
      </c>
      <c r="AE26" s="184">
        <v>1202</v>
      </c>
      <c r="AF26" s="184">
        <v>1055</v>
      </c>
      <c r="AG26" s="184">
        <v>1192</v>
      </c>
      <c r="AH26" s="186">
        <v>684</v>
      </c>
      <c r="AI26" s="186">
        <v>865</v>
      </c>
      <c r="AJ26" s="184">
        <v>1645</v>
      </c>
      <c r="AK26" s="184">
        <v>2585</v>
      </c>
      <c r="AL26" s="184">
        <v>3303</v>
      </c>
      <c r="AM26" s="184">
        <v>3144</v>
      </c>
      <c r="AN26" s="184">
        <v>2894</v>
      </c>
      <c r="AO26" s="184">
        <v>1870</v>
      </c>
      <c r="AP26" s="184">
        <v>1449</v>
      </c>
      <c r="AQ26" s="184">
        <v>1374</v>
      </c>
      <c r="AR26" s="184">
        <v>1512</v>
      </c>
      <c r="AS26" s="184">
        <v>1502</v>
      </c>
      <c r="AT26" s="186">
        <v>785</v>
      </c>
      <c r="AU26" s="186">
        <v>827</v>
      </c>
      <c r="AV26" s="184">
        <v>2128</v>
      </c>
    </row>
    <row customHeight="true" ht="13" r="27">
      <c r="A27" s="185">
        <v>26</v>
      </c>
      <c r="B27" s="181" t="s">
        <v>318</v>
      </c>
      <c r="C27" s="183">
        <v>911</v>
      </c>
      <c r="D27" s="183">
        <v>1231</v>
      </c>
      <c r="E27" s="183">
        <v>1048</v>
      </c>
      <c r="F27" s="183">
        <v>692</v>
      </c>
      <c r="G27" s="183">
        <v>571</v>
      </c>
      <c r="H27" s="183">
        <v>565</v>
      </c>
      <c r="I27" s="183">
        <v>421</v>
      </c>
      <c r="J27" s="183">
        <v>502</v>
      </c>
      <c r="K27" s="183">
        <v>693</v>
      </c>
      <c r="L27" s="183">
        <v>1206</v>
      </c>
      <c r="M27" s="183">
        <v>2088</v>
      </c>
      <c r="N27" s="183">
        <v>2904</v>
      </c>
      <c r="O27" s="183">
        <v>2192</v>
      </c>
      <c r="P27" s="183">
        <v>2398</v>
      </c>
      <c r="Q27" s="183">
        <v>1419</v>
      </c>
      <c r="R27" s="183">
        <v>1185</v>
      </c>
      <c r="S27" s="183">
        <v>1064</v>
      </c>
      <c r="T27" s="183">
        <v>902</v>
      </c>
      <c r="U27" s="183">
        <v>668</v>
      </c>
      <c r="V27" s="183">
        <v>604</v>
      </c>
      <c r="W27" s="183">
        <v>835</v>
      </c>
      <c r="X27" s="183">
        <v>1373</v>
      </c>
      <c r="Y27" s="183">
        <v>2363</v>
      </c>
      <c r="Z27" s="183">
        <v>3151</v>
      </c>
      <c r="AA27" s="184">
        <v>3004</v>
      </c>
      <c r="AB27" s="184">
        <v>2688</v>
      </c>
      <c r="AC27" s="184">
        <v>1761</v>
      </c>
      <c r="AD27" s="184">
        <v>1362</v>
      </c>
      <c r="AE27" s="184">
        <v>1186</v>
      </c>
      <c r="AF27" s="184">
        <v>1030</v>
      </c>
      <c r="AG27" s="184">
        <v>1121</v>
      </c>
      <c r="AH27" s="186">
        <v>665</v>
      </c>
      <c r="AI27" s="186">
        <v>848</v>
      </c>
      <c r="AJ27" s="184">
        <v>1621</v>
      </c>
      <c r="AK27" s="184">
        <v>2526</v>
      </c>
      <c r="AL27" s="184">
        <v>3283</v>
      </c>
      <c r="AM27" s="184">
        <v>3112</v>
      </c>
      <c r="AN27" s="184">
        <v>2874</v>
      </c>
      <c r="AO27" s="184">
        <v>1808</v>
      </c>
      <c r="AP27" s="184">
        <v>1386</v>
      </c>
      <c r="AQ27" s="184">
        <v>1373</v>
      </c>
      <c r="AR27" s="184">
        <v>1491</v>
      </c>
      <c r="AS27" s="184">
        <v>1408</v>
      </c>
      <c r="AT27" s="186">
        <v>778</v>
      </c>
      <c r="AU27" s="186">
        <v>824</v>
      </c>
      <c r="AV27" s="184">
        <v>2086</v>
      </c>
    </row>
    <row customHeight="true" ht="13" r="28">
      <c r="A28" s="181">
        <v>27</v>
      </c>
      <c r="B28" s="181" t="s">
        <v>318</v>
      </c>
      <c r="C28" s="183">
        <v>900</v>
      </c>
      <c r="D28" s="183">
        <v>1216</v>
      </c>
      <c r="E28" s="183">
        <v>1033</v>
      </c>
      <c r="F28" s="183">
        <v>663</v>
      </c>
      <c r="G28" s="183">
        <v>570</v>
      </c>
      <c r="H28" s="183">
        <v>561</v>
      </c>
      <c r="I28" s="183">
        <v>408</v>
      </c>
      <c r="J28" s="183">
        <v>500</v>
      </c>
      <c r="K28" s="183">
        <v>680</v>
      </c>
      <c r="L28" s="183">
        <v>1139</v>
      </c>
      <c r="M28" s="183">
        <v>2071</v>
      </c>
      <c r="N28" s="183">
        <v>2685</v>
      </c>
      <c r="O28" s="183">
        <v>2039</v>
      </c>
      <c r="P28" s="183">
        <v>2398</v>
      </c>
      <c r="Q28" s="183">
        <v>1387</v>
      </c>
      <c r="R28" s="183">
        <v>1138</v>
      </c>
      <c r="S28" s="183">
        <v>1038</v>
      </c>
      <c r="T28" s="183">
        <v>896</v>
      </c>
      <c r="U28" s="183">
        <v>655</v>
      </c>
      <c r="V28" s="183">
        <v>589</v>
      </c>
      <c r="W28" s="183">
        <v>796</v>
      </c>
      <c r="X28" s="183">
        <v>1362</v>
      </c>
      <c r="Y28" s="183">
        <v>2357</v>
      </c>
      <c r="Z28" s="183">
        <v>3076</v>
      </c>
      <c r="AA28" s="184">
        <v>2994</v>
      </c>
      <c r="AB28" s="184">
        <v>2679</v>
      </c>
      <c r="AC28" s="184">
        <v>1741</v>
      </c>
      <c r="AD28" s="184">
        <v>1349</v>
      </c>
      <c r="AE28" s="184">
        <v>1172</v>
      </c>
      <c r="AF28" s="184">
        <v>1020</v>
      </c>
      <c r="AG28" s="184">
        <v>1018</v>
      </c>
      <c r="AH28" s="186">
        <v>638</v>
      </c>
      <c r="AI28" s="186">
        <v>839</v>
      </c>
      <c r="AJ28" s="184">
        <v>1591</v>
      </c>
      <c r="AK28" s="184">
        <v>2441</v>
      </c>
      <c r="AL28" s="184">
        <v>3225</v>
      </c>
      <c r="AM28" s="184">
        <v>2815</v>
      </c>
      <c r="AN28" s="184">
        <v>2829</v>
      </c>
      <c r="AO28" s="184">
        <v>1789</v>
      </c>
      <c r="AP28" s="184">
        <v>1383</v>
      </c>
      <c r="AQ28" s="184">
        <v>1232</v>
      </c>
      <c r="AR28" s="184">
        <v>1432</v>
      </c>
      <c r="AS28" s="184">
        <v>1377</v>
      </c>
      <c r="AT28" s="186">
        <v>759</v>
      </c>
      <c r="AU28" s="186">
        <v>792</v>
      </c>
      <c r="AV28" s="184">
        <v>2006</v>
      </c>
    </row>
    <row customHeight="true" ht="13" r="29">
      <c r="A29" s="185">
        <v>28</v>
      </c>
      <c r="B29" s="181" t="s">
        <v>318</v>
      </c>
      <c r="C29" s="183">
        <v>893</v>
      </c>
      <c r="D29" s="183">
        <v>1169</v>
      </c>
      <c r="E29" s="183">
        <v>1032</v>
      </c>
      <c r="F29" s="183">
        <v>659</v>
      </c>
      <c r="G29" s="183">
        <v>558</v>
      </c>
      <c r="H29" s="183">
        <v>544</v>
      </c>
      <c r="I29" s="183">
        <v>397</v>
      </c>
      <c r="J29" s="183">
        <v>497</v>
      </c>
      <c r="K29" s="183">
        <v>665</v>
      </c>
      <c r="L29" s="183">
        <v>1112</v>
      </c>
      <c r="M29" s="183">
        <v>2016</v>
      </c>
      <c r="N29" s="183">
        <v>2580</v>
      </c>
      <c r="O29" s="183">
        <v>1982</v>
      </c>
      <c r="P29" s="183">
        <v>2398</v>
      </c>
      <c r="Q29" s="183">
        <v>1386</v>
      </c>
      <c r="R29" s="183">
        <v>1064</v>
      </c>
      <c r="S29" s="183">
        <v>977</v>
      </c>
      <c r="T29" s="183">
        <v>889</v>
      </c>
      <c r="U29" s="183">
        <v>649</v>
      </c>
      <c r="V29" s="183">
        <v>570</v>
      </c>
      <c r="W29" s="183">
        <v>790</v>
      </c>
      <c r="X29" s="183">
        <v>1284</v>
      </c>
      <c r="Y29" s="183">
        <v>2087</v>
      </c>
      <c r="Z29" s="183">
        <v>3040</v>
      </c>
      <c r="AA29" s="184">
        <v>2949</v>
      </c>
      <c r="AB29" s="184">
        <v>2662</v>
      </c>
      <c r="AC29" s="184">
        <v>1647</v>
      </c>
      <c r="AD29" s="184">
        <v>1311</v>
      </c>
      <c r="AE29" s="184">
        <v>1151</v>
      </c>
      <c r="AF29" s="186">
        <v>960</v>
      </c>
      <c r="AG29" s="184">
        <v>1011</v>
      </c>
      <c r="AH29" s="186">
        <v>616</v>
      </c>
      <c r="AI29" s="186">
        <v>814</v>
      </c>
      <c r="AJ29" s="184">
        <v>1588</v>
      </c>
      <c r="AK29" s="184">
        <v>2391</v>
      </c>
      <c r="AL29" s="184">
        <v>3198</v>
      </c>
      <c r="AM29" s="184">
        <v>2777</v>
      </c>
      <c r="AN29" s="184">
        <v>2735</v>
      </c>
      <c r="AO29" s="184">
        <v>1694</v>
      </c>
      <c r="AP29" s="184">
        <v>1346</v>
      </c>
      <c r="AQ29" s="184">
        <v>1215</v>
      </c>
      <c r="AR29" s="184">
        <v>1355</v>
      </c>
      <c r="AS29" s="184">
        <v>1375</v>
      </c>
      <c r="AT29" s="186">
        <v>675</v>
      </c>
      <c r="AU29" s="186">
        <v>790</v>
      </c>
      <c r="AV29" s="184">
        <v>1805</v>
      </c>
    </row>
    <row customHeight="true" ht="13" r="30">
      <c r="A30" s="181">
        <v>29</v>
      </c>
      <c r="B30" s="181" t="s">
        <v>318</v>
      </c>
      <c r="C30" s="183">
        <v>890</v>
      </c>
      <c r="D30" s="183">
        <v>1151</v>
      </c>
      <c r="E30" s="183">
        <v>1002</v>
      </c>
      <c r="F30" s="183">
        <v>616</v>
      </c>
      <c r="G30" s="183">
        <v>539</v>
      </c>
      <c r="H30" s="183">
        <v>500</v>
      </c>
      <c r="I30" s="183">
        <v>388</v>
      </c>
      <c r="J30" s="183">
        <v>486</v>
      </c>
      <c r="K30" s="183">
        <v>649</v>
      </c>
      <c r="L30" s="183">
        <v>1077</v>
      </c>
      <c r="M30" s="183">
        <v>1980</v>
      </c>
      <c r="N30" s="183">
        <v>2578</v>
      </c>
      <c r="O30" s="183">
        <v>1876</v>
      </c>
      <c r="P30" s="183">
        <v>2394</v>
      </c>
      <c r="Q30" s="183">
        <v>1385</v>
      </c>
      <c r="R30" s="183">
        <v>1060</v>
      </c>
      <c r="S30" s="183">
        <v>960</v>
      </c>
      <c r="T30" s="183">
        <v>830</v>
      </c>
      <c r="U30" s="183">
        <v>647</v>
      </c>
      <c r="V30" s="183">
        <v>560</v>
      </c>
      <c r="W30" s="183">
        <v>770</v>
      </c>
      <c r="X30" s="183">
        <v>1235</v>
      </c>
      <c r="Y30" s="183">
        <v>2074</v>
      </c>
      <c r="Z30" s="183">
        <v>3029</v>
      </c>
      <c r="AA30" s="184">
        <v>2936</v>
      </c>
      <c r="AB30" s="184">
        <v>2635</v>
      </c>
      <c r="AC30" s="184">
        <v>1635</v>
      </c>
      <c r="AD30" s="184">
        <v>1309</v>
      </c>
      <c r="AE30" s="184">
        <v>1061</v>
      </c>
      <c r="AF30" s="186">
        <v>910</v>
      </c>
      <c r="AG30" s="186">
        <v>923</v>
      </c>
      <c r="AH30" s="186">
        <v>585</v>
      </c>
      <c r="AI30" s="186">
        <v>791</v>
      </c>
      <c r="AJ30" s="184">
        <v>1581</v>
      </c>
      <c r="AK30" s="184">
        <v>2390</v>
      </c>
      <c r="AL30" s="184">
        <v>3181</v>
      </c>
      <c r="AM30" s="184">
        <v>2763</v>
      </c>
      <c r="AN30" s="184">
        <v>2684</v>
      </c>
      <c r="AO30" s="184">
        <v>1624</v>
      </c>
      <c r="AP30" s="184">
        <v>1313</v>
      </c>
      <c r="AQ30" s="184">
        <v>1206</v>
      </c>
      <c r="AR30" s="184">
        <v>1335</v>
      </c>
      <c r="AS30" s="184">
        <v>1354</v>
      </c>
      <c r="AT30" s="186">
        <v>652</v>
      </c>
      <c r="AU30" s="186">
        <v>756</v>
      </c>
      <c r="AV30" s="184">
        <v>1696</v>
      </c>
    </row>
    <row customHeight="true" ht="13" r="31">
      <c r="A31" s="185">
        <v>30</v>
      </c>
      <c r="B31" s="181" t="s">
        <v>318</v>
      </c>
      <c r="C31" s="183">
        <v>874</v>
      </c>
      <c r="D31" s="183">
        <v>1116</v>
      </c>
      <c r="E31" s="183">
        <v>988</v>
      </c>
      <c r="F31" s="183">
        <v>567</v>
      </c>
      <c r="G31" s="183">
        <v>525</v>
      </c>
      <c r="H31" s="183">
        <v>485</v>
      </c>
      <c r="I31" s="183">
        <v>384</v>
      </c>
      <c r="J31" s="183">
        <v>478</v>
      </c>
      <c r="K31" s="183">
        <v>646</v>
      </c>
      <c r="L31" s="183">
        <v>1034</v>
      </c>
      <c r="M31" s="183">
        <v>1950</v>
      </c>
      <c r="N31" s="183">
        <v>2484</v>
      </c>
      <c r="O31" s="183">
        <v>1848</v>
      </c>
      <c r="P31" s="183">
        <v>2386</v>
      </c>
      <c r="Q31" s="183">
        <v>1310</v>
      </c>
      <c r="R31" s="183">
        <v>1052</v>
      </c>
      <c r="S31" s="183">
        <v>936</v>
      </c>
      <c r="T31" s="183">
        <v>782</v>
      </c>
      <c r="U31" s="183">
        <v>631</v>
      </c>
      <c r="V31" s="183">
        <v>556</v>
      </c>
      <c r="W31" s="183">
        <v>734</v>
      </c>
      <c r="X31" s="183">
        <v>1225</v>
      </c>
      <c r="Y31" s="183">
        <v>2061</v>
      </c>
      <c r="Z31" s="183">
        <v>2962</v>
      </c>
      <c r="AA31" s="184">
        <v>2931</v>
      </c>
      <c r="AB31" s="184">
        <v>2567</v>
      </c>
      <c r="AC31" s="184">
        <v>1533</v>
      </c>
      <c r="AD31" s="184">
        <v>1305</v>
      </c>
      <c r="AE31" s="184">
        <v>1022</v>
      </c>
      <c r="AF31" s="186">
        <v>887</v>
      </c>
      <c r="AG31" s="186">
        <v>886</v>
      </c>
      <c r="AH31" s="186">
        <v>582</v>
      </c>
      <c r="AI31" s="186">
        <v>789</v>
      </c>
      <c r="AJ31" s="184">
        <v>1469</v>
      </c>
      <c r="AK31" s="184">
        <v>2386</v>
      </c>
      <c r="AL31" s="184">
        <v>3159</v>
      </c>
      <c r="AM31" s="184">
        <v>2717</v>
      </c>
      <c r="AN31" s="184">
        <v>2549</v>
      </c>
      <c r="AO31" s="184">
        <v>1603</v>
      </c>
      <c r="AP31" s="184">
        <v>1293</v>
      </c>
      <c r="AQ31" s="184">
        <v>1192</v>
      </c>
      <c r="AR31" s="184">
        <v>1290</v>
      </c>
      <c r="AS31" s="184">
        <v>1244</v>
      </c>
      <c r="AT31" s="186">
        <v>630</v>
      </c>
      <c r="AU31" s="186">
        <v>741</v>
      </c>
      <c r="AV31" s="184">
        <v>1662</v>
      </c>
    </row>
    <row customHeight="true" ht="13" r="32">
      <c r="A32" s="181">
        <v>31</v>
      </c>
      <c r="B32" s="181" t="s">
        <v>319</v>
      </c>
      <c r="C32" s="183">
        <v>874</v>
      </c>
      <c r="D32" s="183">
        <v>1037</v>
      </c>
      <c r="E32" s="183">
        <v>978</v>
      </c>
      <c r="F32" s="183">
        <v>549</v>
      </c>
      <c r="G32" s="183">
        <v>519</v>
      </c>
      <c r="H32" s="183">
        <v>461</v>
      </c>
      <c r="I32" s="183">
        <v>380</v>
      </c>
      <c r="J32" s="183">
        <v>469</v>
      </c>
      <c r="K32" s="183">
        <v>636</v>
      </c>
      <c r="L32" s="183">
        <v>998</v>
      </c>
      <c r="M32" s="183">
        <v>1871</v>
      </c>
      <c r="N32" s="183">
        <v>2468</v>
      </c>
      <c r="O32" s="183">
        <v>1741</v>
      </c>
      <c r="P32" s="183">
        <v>2384</v>
      </c>
      <c r="Q32" s="183">
        <v>1295</v>
      </c>
      <c r="R32" s="183">
        <v>1049</v>
      </c>
      <c r="S32" s="183">
        <v>881</v>
      </c>
      <c r="T32" s="183">
        <v>781</v>
      </c>
      <c r="U32" s="183">
        <v>584</v>
      </c>
      <c r="V32" s="183">
        <v>531</v>
      </c>
      <c r="W32" s="183">
        <v>706</v>
      </c>
      <c r="X32" s="183">
        <v>1180</v>
      </c>
      <c r="Y32" s="183">
        <v>1931</v>
      </c>
      <c r="Z32" s="183">
        <v>2949</v>
      </c>
      <c r="AA32" s="184">
        <v>2894</v>
      </c>
      <c r="AB32" s="184">
        <v>2455</v>
      </c>
      <c r="AC32" s="184">
        <v>1525</v>
      </c>
      <c r="AD32" s="184">
        <v>1239</v>
      </c>
      <c r="AE32" s="184">
        <v>1015</v>
      </c>
      <c r="AF32" s="186">
        <v>871</v>
      </c>
      <c r="AG32" s="186">
        <v>879</v>
      </c>
      <c r="AH32" s="186">
        <v>577</v>
      </c>
      <c r="AI32" s="186">
        <v>754</v>
      </c>
      <c r="AJ32" s="184">
        <v>1451</v>
      </c>
      <c r="AK32" s="184">
        <v>2339</v>
      </c>
      <c r="AL32" s="184">
        <v>3153</v>
      </c>
      <c r="AM32" s="184">
        <v>2607</v>
      </c>
      <c r="AN32" s="184">
        <v>2452</v>
      </c>
      <c r="AO32" s="184">
        <v>1570</v>
      </c>
      <c r="AP32" s="184">
        <v>1285</v>
      </c>
      <c r="AQ32" s="184">
        <v>1174</v>
      </c>
      <c r="AR32" s="184">
        <v>1266</v>
      </c>
      <c r="AS32" s="184">
        <v>1231</v>
      </c>
      <c r="AT32" s="186">
        <v>616</v>
      </c>
      <c r="AU32" s="186">
        <v>679</v>
      </c>
      <c r="AV32" s="184">
        <v>1646</v>
      </c>
    </row>
    <row customHeight="true" ht="13" r="33">
      <c r="A33" s="185">
        <v>32</v>
      </c>
      <c r="B33" s="181" t="s">
        <v>319</v>
      </c>
      <c r="C33" s="183">
        <v>867</v>
      </c>
      <c r="D33" s="183">
        <v>1036</v>
      </c>
      <c r="E33" s="183">
        <v>929</v>
      </c>
      <c r="F33" s="183">
        <v>500</v>
      </c>
      <c r="G33" s="183">
        <v>507</v>
      </c>
      <c r="H33" s="183">
        <v>461</v>
      </c>
      <c r="I33" s="183">
        <v>357</v>
      </c>
      <c r="J33" s="183">
        <v>456</v>
      </c>
      <c r="K33" s="183">
        <v>634</v>
      </c>
      <c r="L33" s="183">
        <v>978</v>
      </c>
      <c r="M33" s="183">
        <v>1692</v>
      </c>
      <c r="N33" s="183">
        <v>2394</v>
      </c>
      <c r="O33" s="183">
        <v>1647</v>
      </c>
      <c r="P33" s="183">
        <v>2232</v>
      </c>
      <c r="Q33" s="183">
        <v>1290</v>
      </c>
      <c r="R33" s="183">
        <v>1018</v>
      </c>
      <c r="S33" s="183">
        <v>878</v>
      </c>
      <c r="T33" s="183">
        <v>708</v>
      </c>
      <c r="U33" s="183">
        <v>583</v>
      </c>
      <c r="V33" s="183">
        <v>510</v>
      </c>
      <c r="W33" s="183">
        <v>701</v>
      </c>
      <c r="X33" s="183">
        <v>1172</v>
      </c>
      <c r="Y33" s="183">
        <v>1928</v>
      </c>
      <c r="Z33" s="183">
        <v>2722</v>
      </c>
      <c r="AA33" s="184">
        <v>2891</v>
      </c>
      <c r="AB33" s="184">
        <v>2409</v>
      </c>
      <c r="AC33" s="184">
        <v>1517</v>
      </c>
      <c r="AD33" s="184">
        <v>1232</v>
      </c>
      <c r="AE33" s="186">
        <v>989</v>
      </c>
      <c r="AF33" s="186">
        <v>871</v>
      </c>
      <c r="AG33" s="186">
        <v>860</v>
      </c>
      <c r="AH33" s="186">
        <v>541</v>
      </c>
      <c r="AI33" s="186">
        <v>719</v>
      </c>
      <c r="AJ33" s="184">
        <v>1383</v>
      </c>
      <c r="AK33" s="184">
        <v>2338</v>
      </c>
      <c r="AL33" s="184">
        <v>3112</v>
      </c>
      <c r="AM33" s="184">
        <v>2593</v>
      </c>
      <c r="AN33" s="184">
        <v>2325</v>
      </c>
      <c r="AO33" s="184">
        <v>1541</v>
      </c>
      <c r="AP33" s="184">
        <v>1263</v>
      </c>
      <c r="AQ33" s="184">
        <v>1174</v>
      </c>
      <c r="AR33" s="184">
        <v>1258</v>
      </c>
      <c r="AS33" s="184">
        <v>1205</v>
      </c>
      <c r="AT33" s="186">
        <v>607</v>
      </c>
      <c r="AU33" s="186">
        <v>663</v>
      </c>
      <c r="AV33" s="184">
        <v>1646</v>
      </c>
    </row>
    <row customHeight="true" ht="13" r="34">
      <c r="A34" s="181">
        <v>33</v>
      </c>
      <c r="B34" s="181" t="s">
        <v>319</v>
      </c>
      <c r="C34" s="183">
        <v>834</v>
      </c>
      <c r="D34" s="183">
        <v>992</v>
      </c>
      <c r="E34" s="183">
        <v>900</v>
      </c>
      <c r="F34" s="183">
        <v>491</v>
      </c>
      <c r="G34" s="183">
        <v>492</v>
      </c>
      <c r="H34" s="183">
        <v>443</v>
      </c>
      <c r="I34" s="183">
        <v>354</v>
      </c>
      <c r="J34" s="183">
        <v>412</v>
      </c>
      <c r="K34" s="183">
        <v>598</v>
      </c>
      <c r="L34" s="183">
        <v>956</v>
      </c>
      <c r="M34" s="183">
        <v>1610</v>
      </c>
      <c r="N34" s="183">
        <v>2325</v>
      </c>
      <c r="O34" s="183">
        <v>1579</v>
      </c>
      <c r="P34" s="183">
        <v>2144</v>
      </c>
      <c r="Q34" s="183">
        <v>1262</v>
      </c>
      <c r="R34" s="183">
        <v>1014</v>
      </c>
      <c r="S34" s="183">
        <v>858</v>
      </c>
      <c r="T34" s="183">
        <v>682</v>
      </c>
      <c r="U34" s="183">
        <v>546</v>
      </c>
      <c r="V34" s="183">
        <v>508</v>
      </c>
      <c r="W34" s="183">
        <v>682</v>
      </c>
      <c r="X34" s="183">
        <v>1157</v>
      </c>
      <c r="Y34" s="183">
        <v>1902</v>
      </c>
      <c r="Z34" s="183">
        <v>2713</v>
      </c>
      <c r="AA34" s="184">
        <v>2828</v>
      </c>
      <c r="AB34" s="184">
        <v>2249</v>
      </c>
      <c r="AC34" s="184">
        <v>1449</v>
      </c>
      <c r="AD34" s="184">
        <v>1187</v>
      </c>
      <c r="AE34" s="186">
        <v>971</v>
      </c>
      <c r="AF34" s="186">
        <v>837</v>
      </c>
      <c r="AG34" s="186">
        <v>818</v>
      </c>
      <c r="AH34" s="186">
        <v>538</v>
      </c>
      <c r="AI34" s="186">
        <v>713</v>
      </c>
      <c r="AJ34" s="184">
        <v>1364</v>
      </c>
      <c r="AK34" s="184">
        <v>2304</v>
      </c>
      <c r="AL34" s="184">
        <v>2916</v>
      </c>
      <c r="AM34" s="184">
        <v>2591</v>
      </c>
      <c r="AN34" s="184">
        <v>2288</v>
      </c>
      <c r="AO34" s="184">
        <v>1528</v>
      </c>
      <c r="AP34" s="184">
        <v>1263</v>
      </c>
      <c r="AQ34" s="184">
        <v>1174</v>
      </c>
      <c r="AR34" s="184">
        <v>1240</v>
      </c>
      <c r="AS34" s="184">
        <v>1194</v>
      </c>
      <c r="AT34" s="186">
        <v>602</v>
      </c>
      <c r="AU34" s="186">
        <v>651</v>
      </c>
      <c r="AV34" s="184">
        <v>1569</v>
      </c>
    </row>
    <row customHeight="true" ht="13" r="35">
      <c r="A35" s="185">
        <v>34</v>
      </c>
      <c r="B35" s="181" t="s">
        <v>319</v>
      </c>
      <c r="C35" s="183">
        <v>820</v>
      </c>
      <c r="D35" s="183">
        <v>947</v>
      </c>
      <c r="E35" s="183">
        <v>899</v>
      </c>
      <c r="F35" s="183">
        <v>487</v>
      </c>
      <c r="G35" s="183">
        <v>483</v>
      </c>
      <c r="H35" s="183">
        <v>437</v>
      </c>
      <c r="I35" s="183">
        <v>342</v>
      </c>
      <c r="J35" s="183">
        <v>410</v>
      </c>
      <c r="K35" s="183">
        <v>588</v>
      </c>
      <c r="L35" s="183">
        <v>949</v>
      </c>
      <c r="M35" s="183">
        <v>1570</v>
      </c>
      <c r="N35" s="183">
        <v>2270</v>
      </c>
      <c r="O35" s="183">
        <v>1577</v>
      </c>
      <c r="P35" s="183">
        <v>2141</v>
      </c>
      <c r="Q35" s="183">
        <v>1190</v>
      </c>
      <c r="R35" s="183">
        <v>994</v>
      </c>
      <c r="S35" s="183">
        <v>851</v>
      </c>
      <c r="T35" s="183">
        <v>674</v>
      </c>
      <c r="U35" s="183">
        <v>526</v>
      </c>
      <c r="V35" s="183">
        <v>478</v>
      </c>
      <c r="W35" s="183">
        <v>663</v>
      </c>
      <c r="X35" s="183">
        <v>1150</v>
      </c>
      <c r="Y35" s="183">
        <v>1896</v>
      </c>
      <c r="Z35" s="183">
        <v>2635</v>
      </c>
      <c r="AA35" s="184">
        <v>2812</v>
      </c>
      <c r="AB35" s="184">
        <v>2205</v>
      </c>
      <c r="AC35" s="184">
        <v>1364</v>
      </c>
      <c r="AD35" s="184">
        <v>1173</v>
      </c>
      <c r="AE35" s="186">
        <v>966</v>
      </c>
      <c r="AF35" s="186">
        <v>824</v>
      </c>
      <c r="AG35" s="186">
        <v>776</v>
      </c>
      <c r="AH35" s="186">
        <v>535</v>
      </c>
      <c r="AI35" s="186">
        <v>698</v>
      </c>
      <c r="AJ35" s="184">
        <v>1356</v>
      </c>
      <c r="AK35" s="184">
        <v>2270</v>
      </c>
      <c r="AL35" s="184">
        <v>2879</v>
      </c>
      <c r="AM35" s="184">
        <v>2389</v>
      </c>
      <c r="AN35" s="184">
        <v>2279</v>
      </c>
      <c r="AO35" s="184">
        <v>1515</v>
      </c>
      <c r="AP35" s="184">
        <v>1263</v>
      </c>
      <c r="AQ35" s="184">
        <v>1174</v>
      </c>
      <c r="AR35" s="184">
        <v>1198</v>
      </c>
      <c r="AS35" s="184">
        <v>1188</v>
      </c>
      <c r="AT35" s="186">
        <v>583</v>
      </c>
      <c r="AU35" s="186">
        <v>622</v>
      </c>
      <c r="AV35" s="184">
        <v>1491</v>
      </c>
    </row>
    <row customHeight="true" ht="13" r="36">
      <c r="A36" s="181">
        <v>35</v>
      </c>
      <c r="B36" s="181" t="s">
        <v>319</v>
      </c>
      <c r="C36" s="183">
        <v>819</v>
      </c>
      <c r="D36" s="183">
        <v>940</v>
      </c>
      <c r="E36" s="183">
        <v>882</v>
      </c>
      <c r="F36" s="183">
        <v>450</v>
      </c>
      <c r="G36" s="183">
        <v>479</v>
      </c>
      <c r="H36" s="183">
        <v>427</v>
      </c>
      <c r="I36" s="183">
        <v>340</v>
      </c>
      <c r="J36" s="183">
        <v>401</v>
      </c>
      <c r="K36" s="183">
        <v>580</v>
      </c>
      <c r="L36" s="183">
        <v>901</v>
      </c>
      <c r="M36" s="183">
        <v>1546</v>
      </c>
      <c r="N36" s="183">
        <v>2226</v>
      </c>
      <c r="O36" s="183">
        <v>1561</v>
      </c>
      <c r="P36" s="183">
        <v>2107</v>
      </c>
      <c r="Q36" s="183">
        <v>1185</v>
      </c>
      <c r="R36" s="183">
        <v>967</v>
      </c>
      <c r="S36" s="183">
        <v>849</v>
      </c>
      <c r="T36" s="183">
        <v>661</v>
      </c>
      <c r="U36" s="183">
        <v>511</v>
      </c>
      <c r="V36" s="183">
        <v>466</v>
      </c>
      <c r="W36" s="183">
        <v>660</v>
      </c>
      <c r="X36" s="183">
        <v>1133</v>
      </c>
      <c r="Y36" s="183">
        <v>1663</v>
      </c>
      <c r="Z36" s="183">
        <v>2553</v>
      </c>
      <c r="AA36" s="184">
        <v>2760</v>
      </c>
      <c r="AB36" s="184">
        <v>2178</v>
      </c>
      <c r="AC36" s="184">
        <v>1352</v>
      </c>
      <c r="AD36" s="184">
        <v>1149</v>
      </c>
      <c r="AE36" s="186">
        <v>938</v>
      </c>
      <c r="AF36" s="186">
        <v>824</v>
      </c>
      <c r="AG36" s="186">
        <v>753</v>
      </c>
      <c r="AH36" s="186">
        <v>528</v>
      </c>
      <c r="AI36" s="186">
        <v>694</v>
      </c>
      <c r="AJ36" s="184">
        <v>1323</v>
      </c>
      <c r="AK36" s="184">
        <v>2256</v>
      </c>
      <c r="AL36" s="184">
        <v>2870</v>
      </c>
      <c r="AM36" s="184">
        <v>2377</v>
      </c>
      <c r="AN36" s="184">
        <v>2162</v>
      </c>
      <c r="AO36" s="184">
        <v>1511</v>
      </c>
      <c r="AP36" s="184">
        <v>1263</v>
      </c>
      <c r="AQ36" s="184">
        <v>1142</v>
      </c>
      <c r="AR36" s="184">
        <v>1157</v>
      </c>
      <c r="AS36" s="184">
        <v>1179</v>
      </c>
      <c r="AT36" s="186">
        <v>582</v>
      </c>
      <c r="AU36" s="186">
        <v>608</v>
      </c>
      <c r="AV36" s="184">
        <v>1417</v>
      </c>
    </row>
    <row customHeight="true" ht="13" r="37">
      <c r="A37" s="185">
        <v>36</v>
      </c>
      <c r="B37" s="181" t="s">
        <v>320</v>
      </c>
      <c r="C37" s="183">
        <v>753</v>
      </c>
      <c r="D37" s="183">
        <v>921</v>
      </c>
      <c r="E37" s="183">
        <v>845</v>
      </c>
      <c r="F37" s="183">
        <v>447</v>
      </c>
      <c r="G37" s="183">
        <v>469</v>
      </c>
      <c r="H37" s="183">
        <v>426</v>
      </c>
      <c r="I37" s="183">
        <v>340</v>
      </c>
      <c r="J37" s="183">
        <v>383</v>
      </c>
      <c r="K37" s="183">
        <v>549</v>
      </c>
      <c r="L37" s="183">
        <v>854</v>
      </c>
      <c r="M37" s="183">
        <v>1484</v>
      </c>
      <c r="N37" s="183">
        <v>2071</v>
      </c>
      <c r="O37" s="183">
        <v>1517</v>
      </c>
      <c r="P37" s="183">
        <v>2087</v>
      </c>
      <c r="Q37" s="183">
        <v>1122</v>
      </c>
      <c r="R37" s="183">
        <v>947</v>
      </c>
      <c r="S37" s="183">
        <v>840</v>
      </c>
      <c r="T37" s="183">
        <v>649</v>
      </c>
      <c r="U37" s="183">
        <v>507</v>
      </c>
      <c r="V37" s="183">
        <v>466</v>
      </c>
      <c r="W37" s="183">
        <v>659</v>
      </c>
      <c r="X37" s="183">
        <v>1114</v>
      </c>
      <c r="Y37" s="183">
        <v>1616</v>
      </c>
      <c r="Z37" s="183">
        <v>2494</v>
      </c>
      <c r="AA37" s="184">
        <v>2431</v>
      </c>
      <c r="AB37" s="184">
        <v>1865</v>
      </c>
      <c r="AC37" s="184">
        <v>1340</v>
      </c>
      <c r="AD37" s="184">
        <v>1142</v>
      </c>
      <c r="AE37" s="186">
        <v>935</v>
      </c>
      <c r="AF37" s="186">
        <v>807</v>
      </c>
      <c r="AG37" s="186">
        <v>742</v>
      </c>
      <c r="AH37" s="186">
        <v>522</v>
      </c>
      <c r="AI37" s="186">
        <v>665</v>
      </c>
      <c r="AJ37" s="184">
        <v>1262</v>
      </c>
      <c r="AK37" s="184">
        <v>2041</v>
      </c>
      <c r="AL37" s="184">
        <v>2810</v>
      </c>
      <c r="AM37" s="184">
        <v>2376</v>
      </c>
      <c r="AN37" s="184">
        <v>2153</v>
      </c>
      <c r="AO37" s="184">
        <v>1493</v>
      </c>
      <c r="AP37" s="184">
        <v>1239</v>
      </c>
      <c r="AQ37" s="184">
        <v>1103</v>
      </c>
      <c r="AR37" s="184">
        <v>1136</v>
      </c>
      <c r="AS37" s="184">
        <v>1107</v>
      </c>
      <c r="AT37" s="186">
        <v>578</v>
      </c>
      <c r="AU37" s="186">
        <v>607</v>
      </c>
      <c r="AV37" s="184">
        <v>1395</v>
      </c>
    </row>
    <row customHeight="true" ht="13" r="38">
      <c r="A38" s="181">
        <v>37</v>
      </c>
      <c r="B38" s="181" t="s">
        <v>320</v>
      </c>
      <c r="C38" s="183">
        <v>726</v>
      </c>
      <c r="D38" s="183">
        <v>873</v>
      </c>
      <c r="E38" s="183">
        <v>786</v>
      </c>
      <c r="F38" s="183">
        <v>437</v>
      </c>
      <c r="G38" s="183">
        <v>462</v>
      </c>
      <c r="H38" s="183">
        <v>383</v>
      </c>
      <c r="I38" s="183">
        <v>336</v>
      </c>
      <c r="J38" s="183">
        <v>371</v>
      </c>
      <c r="K38" s="183">
        <v>549</v>
      </c>
      <c r="L38" s="183">
        <v>850</v>
      </c>
      <c r="M38" s="183">
        <v>1449</v>
      </c>
      <c r="N38" s="183">
        <v>2038</v>
      </c>
      <c r="O38" s="183">
        <v>1498</v>
      </c>
      <c r="P38" s="183">
        <v>2077</v>
      </c>
      <c r="Q38" s="183">
        <v>1116</v>
      </c>
      <c r="R38" s="183">
        <v>933</v>
      </c>
      <c r="S38" s="183">
        <v>830</v>
      </c>
      <c r="T38" s="183">
        <v>626</v>
      </c>
      <c r="U38" s="183">
        <v>502</v>
      </c>
      <c r="V38" s="183">
        <v>452</v>
      </c>
      <c r="W38" s="183">
        <v>652</v>
      </c>
      <c r="X38" s="183">
        <v>1106</v>
      </c>
      <c r="Y38" s="183">
        <v>1587</v>
      </c>
      <c r="Z38" s="183">
        <v>2490</v>
      </c>
      <c r="AA38" s="184">
        <v>2246</v>
      </c>
      <c r="AB38" s="184">
        <v>1829</v>
      </c>
      <c r="AC38" s="184">
        <v>1261</v>
      </c>
      <c r="AD38" s="184">
        <v>1112</v>
      </c>
      <c r="AE38" s="186">
        <v>897</v>
      </c>
      <c r="AF38" s="186">
        <v>790</v>
      </c>
      <c r="AG38" s="186">
        <v>730</v>
      </c>
      <c r="AH38" s="186">
        <v>497</v>
      </c>
      <c r="AI38" s="186">
        <v>657</v>
      </c>
      <c r="AJ38" s="184">
        <v>1217</v>
      </c>
      <c r="AK38" s="184">
        <v>1971</v>
      </c>
      <c r="AL38" s="184">
        <v>2761</v>
      </c>
      <c r="AM38" s="184">
        <v>2372</v>
      </c>
      <c r="AN38" s="184">
        <v>2145</v>
      </c>
      <c r="AO38" s="184">
        <v>1492</v>
      </c>
      <c r="AP38" s="184">
        <v>1238</v>
      </c>
      <c r="AQ38" s="184">
        <v>1060</v>
      </c>
      <c r="AR38" s="184">
        <v>1080</v>
      </c>
      <c r="AS38" s="184">
        <v>1089</v>
      </c>
      <c r="AT38" s="186">
        <v>570</v>
      </c>
      <c r="AU38" s="186">
        <v>605</v>
      </c>
      <c r="AV38" s="184">
        <v>1383</v>
      </c>
    </row>
    <row customHeight="true" ht="13" r="39">
      <c r="A39" s="185">
        <v>38</v>
      </c>
      <c r="B39" s="181" t="s">
        <v>320</v>
      </c>
      <c r="C39" s="183">
        <v>706</v>
      </c>
      <c r="D39" s="183">
        <v>860</v>
      </c>
      <c r="E39" s="183">
        <v>783</v>
      </c>
      <c r="F39" s="183">
        <v>420</v>
      </c>
      <c r="G39" s="183">
        <v>444</v>
      </c>
      <c r="H39" s="183">
        <v>372</v>
      </c>
      <c r="I39" s="183">
        <v>336</v>
      </c>
      <c r="J39" s="183">
        <v>366</v>
      </c>
      <c r="K39" s="183">
        <v>541</v>
      </c>
      <c r="L39" s="183">
        <v>834</v>
      </c>
      <c r="M39" s="183">
        <v>1445</v>
      </c>
      <c r="N39" s="183">
        <v>1990</v>
      </c>
      <c r="O39" s="183">
        <v>1488</v>
      </c>
      <c r="P39" s="183">
        <v>1990</v>
      </c>
      <c r="Q39" s="183">
        <v>1099</v>
      </c>
      <c r="R39" s="183">
        <v>894</v>
      </c>
      <c r="S39" s="183">
        <v>821</v>
      </c>
      <c r="T39" s="183">
        <v>619</v>
      </c>
      <c r="U39" s="183">
        <v>485</v>
      </c>
      <c r="V39" s="183">
        <v>443</v>
      </c>
      <c r="W39" s="183">
        <v>636</v>
      </c>
      <c r="X39" s="183">
        <v>1063</v>
      </c>
      <c r="Y39" s="183">
        <v>1585</v>
      </c>
      <c r="Z39" s="183">
        <v>2461</v>
      </c>
      <c r="AA39" s="184">
        <v>2209</v>
      </c>
      <c r="AB39" s="184">
        <v>1794</v>
      </c>
      <c r="AC39" s="184">
        <v>1221</v>
      </c>
      <c r="AD39" s="184">
        <v>1060</v>
      </c>
      <c r="AE39" s="186">
        <v>896</v>
      </c>
      <c r="AF39" s="186">
        <v>763</v>
      </c>
      <c r="AG39" s="186">
        <v>729</v>
      </c>
      <c r="AH39" s="186">
        <v>491</v>
      </c>
      <c r="AI39" s="186">
        <v>638</v>
      </c>
      <c r="AJ39" s="184">
        <v>1209</v>
      </c>
      <c r="AK39" s="184">
        <v>1908</v>
      </c>
      <c r="AL39" s="184">
        <v>2761</v>
      </c>
      <c r="AM39" s="184">
        <v>2359</v>
      </c>
      <c r="AN39" s="184">
        <v>2087</v>
      </c>
      <c r="AO39" s="184">
        <v>1482</v>
      </c>
      <c r="AP39" s="184">
        <v>1234</v>
      </c>
      <c r="AQ39" s="184">
        <v>1052</v>
      </c>
      <c r="AR39" s="184">
        <v>1053</v>
      </c>
      <c r="AS39" s="184">
        <v>1085</v>
      </c>
      <c r="AT39" s="186">
        <v>568</v>
      </c>
      <c r="AU39" s="186">
        <v>591</v>
      </c>
      <c r="AV39" s="184">
        <v>1326</v>
      </c>
    </row>
    <row customHeight="true" ht="13" r="40">
      <c r="A40" s="181">
        <v>39</v>
      </c>
      <c r="B40" s="181" t="s">
        <v>320</v>
      </c>
      <c r="C40" s="183">
        <v>695</v>
      </c>
      <c r="D40" s="183">
        <v>854</v>
      </c>
      <c r="E40" s="183">
        <v>771</v>
      </c>
      <c r="F40" s="183">
        <v>404</v>
      </c>
      <c r="G40" s="183">
        <v>442</v>
      </c>
      <c r="H40" s="183">
        <v>369</v>
      </c>
      <c r="I40" s="183">
        <v>335</v>
      </c>
      <c r="J40" s="183">
        <v>351</v>
      </c>
      <c r="K40" s="183">
        <v>528</v>
      </c>
      <c r="L40" s="183">
        <v>820</v>
      </c>
      <c r="M40" s="183">
        <v>1401</v>
      </c>
      <c r="N40" s="183">
        <v>1989</v>
      </c>
      <c r="O40" s="183">
        <v>1456</v>
      </c>
      <c r="P40" s="183">
        <v>1981</v>
      </c>
      <c r="Q40" s="183">
        <v>1098</v>
      </c>
      <c r="R40" s="183">
        <v>862</v>
      </c>
      <c r="S40" s="183">
        <v>759</v>
      </c>
      <c r="T40" s="183">
        <v>592</v>
      </c>
      <c r="U40" s="183">
        <v>449</v>
      </c>
      <c r="V40" s="183">
        <v>427</v>
      </c>
      <c r="W40" s="183">
        <v>631</v>
      </c>
      <c r="X40" s="183">
        <v>1059</v>
      </c>
      <c r="Y40" s="183">
        <v>1568</v>
      </c>
      <c r="Z40" s="183">
        <v>2317</v>
      </c>
      <c r="AA40" s="184">
        <v>2179</v>
      </c>
      <c r="AB40" s="184">
        <v>1782</v>
      </c>
      <c r="AC40" s="184">
        <v>1205</v>
      </c>
      <c r="AD40" s="184">
        <v>1055</v>
      </c>
      <c r="AE40" s="186">
        <v>892</v>
      </c>
      <c r="AF40" s="186">
        <v>760</v>
      </c>
      <c r="AG40" s="186">
        <v>722</v>
      </c>
      <c r="AH40" s="186">
        <v>487</v>
      </c>
      <c r="AI40" s="186">
        <v>629</v>
      </c>
      <c r="AJ40" s="184">
        <v>1192</v>
      </c>
      <c r="AK40" s="184">
        <v>1904</v>
      </c>
      <c r="AL40" s="184">
        <v>2751</v>
      </c>
      <c r="AM40" s="184">
        <v>2354</v>
      </c>
      <c r="AN40" s="184">
        <v>2001</v>
      </c>
      <c r="AO40" s="184">
        <v>1474</v>
      </c>
      <c r="AP40" s="184">
        <v>1232</v>
      </c>
      <c r="AQ40" s="184">
        <v>1051</v>
      </c>
      <c r="AR40" s="184">
        <v>1051</v>
      </c>
      <c r="AS40" s="184">
        <v>1071</v>
      </c>
      <c r="AT40" s="186">
        <v>528</v>
      </c>
      <c r="AU40" s="186">
        <v>585</v>
      </c>
      <c r="AV40" s="184">
        <v>1322</v>
      </c>
    </row>
    <row customHeight="true" ht="13" r="41">
      <c r="A41" s="185">
        <v>40</v>
      </c>
      <c r="B41" s="181" t="s">
        <v>320</v>
      </c>
      <c r="C41" s="183">
        <v>669</v>
      </c>
      <c r="D41" s="183">
        <v>850</v>
      </c>
      <c r="E41" s="183">
        <v>770</v>
      </c>
      <c r="F41" s="183">
        <v>388</v>
      </c>
      <c r="G41" s="183">
        <v>433</v>
      </c>
      <c r="H41" s="183">
        <v>368</v>
      </c>
      <c r="I41" s="183">
        <v>332</v>
      </c>
      <c r="J41" s="183">
        <v>330</v>
      </c>
      <c r="K41" s="183">
        <v>518</v>
      </c>
      <c r="L41" s="183">
        <v>717</v>
      </c>
      <c r="M41" s="183">
        <v>1392</v>
      </c>
      <c r="N41" s="183">
        <v>1973</v>
      </c>
      <c r="O41" s="183">
        <v>1443</v>
      </c>
      <c r="P41" s="183">
        <v>1917</v>
      </c>
      <c r="Q41" s="183">
        <v>1087</v>
      </c>
      <c r="R41" s="183">
        <v>838</v>
      </c>
      <c r="S41" s="183">
        <v>751</v>
      </c>
      <c r="T41" s="183">
        <v>581</v>
      </c>
      <c r="U41" s="183">
        <v>438</v>
      </c>
      <c r="V41" s="183">
        <v>425</v>
      </c>
      <c r="W41" s="183">
        <v>627</v>
      </c>
      <c r="X41" s="183">
        <v>1044</v>
      </c>
      <c r="Y41" s="183">
        <v>1539</v>
      </c>
      <c r="Z41" s="183">
        <v>2192</v>
      </c>
      <c r="AA41" s="184">
        <v>2127</v>
      </c>
      <c r="AB41" s="184">
        <v>1775</v>
      </c>
      <c r="AC41" s="184">
        <v>1197</v>
      </c>
      <c r="AD41" s="184">
        <v>1055</v>
      </c>
      <c r="AE41" s="186">
        <v>892</v>
      </c>
      <c r="AF41" s="186">
        <v>715</v>
      </c>
      <c r="AG41" s="186">
        <v>703</v>
      </c>
      <c r="AH41" s="186">
        <v>486</v>
      </c>
      <c r="AI41" s="186">
        <v>627</v>
      </c>
      <c r="AJ41" s="184">
        <v>1187</v>
      </c>
      <c r="AK41" s="184">
        <v>1880</v>
      </c>
      <c r="AL41" s="184">
        <v>2633</v>
      </c>
      <c r="AM41" s="184">
        <v>2347</v>
      </c>
      <c r="AN41" s="184">
        <v>1980</v>
      </c>
      <c r="AO41" s="184">
        <v>1435</v>
      </c>
      <c r="AP41" s="184">
        <v>1217</v>
      </c>
      <c r="AQ41" s="184">
        <v>1043</v>
      </c>
      <c r="AR41" s="184">
        <v>1044</v>
      </c>
      <c r="AS41" s="184">
        <v>1013</v>
      </c>
      <c r="AT41" s="186">
        <v>517</v>
      </c>
      <c r="AU41" s="186">
        <v>572</v>
      </c>
      <c r="AV41" s="184">
        <v>1252</v>
      </c>
    </row>
    <row customHeight="true" ht="13" r="42">
      <c r="A42" s="181">
        <v>41</v>
      </c>
      <c r="B42" s="181" t="s">
        <v>321</v>
      </c>
      <c r="C42" s="183">
        <v>652</v>
      </c>
      <c r="D42" s="183">
        <v>839</v>
      </c>
      <c r="E42" s="183">
        <v>746</v>
      </c>
      <c r="F42" s="183">
        <v>379</v>
      </c>
      <c r="G42" s="183">
        <v>426</v>
      </c>
      <c r="H42" s="183">
        <v>365</v>
      </c>
      <c r="I42" s="183">
        <v>317</v>
      </c>
      <c r="J42" s="183">
        <v>324</v>
      </c>
      <c r="K42" s="183">
        <v>495</v>
      </c>
      <c r="L42" s="183">
        <v>699</v>
      </c>
      <c r="M42" s="183">
        <v>1326</v>
      </c>
      <c r="N42" s="183">
        <v>1932</v>
      </c>
      <c r="O42" s="183">
        <v>1430</v>
      </c>
      <c r="P42" s="183">
        <v>1879</v>
      </c>
      <c r="Q42" s="183">
        <v>1077</v>
      </c>
      <c r="R42" s="183">
        <v>827</v>
      </c>
      <c r="S42" s="183">
        <v>730</v>
      </c>
      <c r="T42" s="183">
        <v>563</v>
      </c>
      <c r="U42" s="183">
        <v>432</v>
      </c>
      <c r="V42" s="183">
        <v>414</v>
      </c>
      <c r="W42" s="183">
        <v>606</v>
      </c>
      <c r="X42" s="183">
        <v>1044</v>
      </c>
      <c r="Y42" s="183">
        <v>1532</v>
      </c>
      <c r="Z42" s="183">
        <v>2179</v>
      </c>
      <c r="AA42" s="184">
        <v>2083</v>
      </c>
      <c r="AB42" s="184">
        <v>1774</v>
      </c>
      <c r="AC42" s="184">
        <v>1189</v>
      </c>
      <c r="AD42" s="184">
        <v>1037</v>
      </c>
      <c r="AE42" s="186">
        <v>870</v>
      </c>
      <c r="AF42" s="186">
        <v>697</v>
      </c>
      <c r="AG42" s="186">
        <v>701</v>
      </c>
      <c r="AH42" s="186">
        <v>478</v>
      </c>
      <c r="AI42" s="186">
        <v>624</v>
      </c>
      <c r="AJ42" s="184">
        <v>1157</v>
      </c>
      <c r="AK42" s="184">
        <v>1874</v>
      </c>
      <c r="AL42" s="184">
        <v>2626</v>
      </c>
      <c r="AM42" s="184">
        <v>2331</v>
      </c>
      <c r="AN42" s="184">
        <v>1958</v>
      </c>
      <c r="AO42" s="184">
        <v>1424</v>
      </c>
      <c r="AP42" s="184">
        <v>1203</v>
      </c>
      <c r="AQ42" s="184">
        <v>1039</v>
      </c>
      <c r="AR42" s="186">
        <v>960</v>
      </c>
      <c r="AS42" s="184">
        <v>1001</v>
      </c>
      <c r="AT42" s="186">
        <v>503</v>
      </c>
      <c r="AU42" s="186">
        <v>556</v>
      </c>
      <c r="AV42" s="184">
        <v>1250</v>
      </c>
    </row>
    <row customHeight="true" ht="13" r="43">
      <c r="A43" s="185">
        <v>42</v>
      </c>
      <c r="B43" s="181" t="s">
        <v>321</v>
      </c>
      <c r="C43" s="183">
        <v>628</v>
      </c>
      <c r="D43" s="183">
        <v>809</v>
      </c>
      <c r="E43" s="183">
        <v>713</v>
      </c>
      <c r="F43" s="183">
        <v>351</v>
      </c>
      <c r="G43" s="183">
        <v>418</v>
      </c>
      <c r="H43" s="183">
        <v>344</v>
      </c>
      <c r="I43" s="183">
        <v>303</v>
      </c>
      <c r="J43" s="183">
        <v>320</v>
      </c>
      <c r="K43" s="183">
        <v>491</v>
      </c>
      <c r="L43" s="183">
        <v>695</v>
      </c>
      <c r="M43" s="183">
        <v>1301</v>
      </c>
      <c r="N43" s="183">
        <v>1824</v>
      </c>
      <c r="O43" s="183">
        <v>1426</v>
      </c>
      <c r="P43" s="183">
        <v>1853</v>
      </c>
      <c r="Q43" s="183">
        <v>1008</v>
      </c>
      <c r="R43" s="183">
        <v>805</v>
      </c>
      <c r="S43" s="183">
        <v>725</v>
      </c>
      <c r="T43" s="183">
        <v>556</v>
      </c>
      <c r="U43" s="183">
        <v>431</v>
      </c>
      <c r="V43" s="183">
        <v>401</v>
      </c>
      <c r="W43" s="183">
        <v>599</v>
      </c>
      <c r="X43" s="183">
        <v>1002</v>
      </c>
      <c r="Y43" s="183">
        <v>1514</v>
      </c>
      <c r="Z43" s="183">
        <v>2127</v>
      </c>
      <c r="AA43" s="184">
        <v>2078</v>
      </c>
      <c r="AB43" s="184">
        <v>1757</v>
      </c>
      <c r="AC43" s="184">
        <v>1181</v>
      </c>
      <c r="AD43" s="186">
        <v>972</v>
      </c>
      <c r="AE43" s="186">
        <v>832</v>
      </c>
      <c r="AF43" s="186">
        <v>691</v>
      </c>
      <c r="AG43" s="186">
        <v>662</v>
      </c>
      <c r="AH43" s="186">
        <v>462</v>
      </c>
      <c r="AI43" s="186">
        <v>618</v>
      </c>
      <c r="AJ43" s="184">
        <v>1128</v>
      </c>
      <c r="AK43" s="184">
        <v>1874</v>
      </c>
      <c r="AL43" s="184">
        <v>2547</v>
      </c>
      <c r="AM43" s="184">
        <v>2316</v>
      </c>
      <c r="AN43" s="184">
        <v>1951</v>
      </c>
      <c r="AO43" s="184">
        <v>1399</v>
      </c>
      <c r="AP43" s="184">
        <v>1179</v>
      </c>
      <c r="AQ43" s="184">
        <v>1025</v>
      </c>
      <c r="AR43" s="186">
        <v>938</v>
      </c>
      <c r="AS43" s="186">
        <v>975</v>
      </c>
      <c r="AT43" s="186">
        <v>498</v>
      </c>
      <c r="AU43" s="186">
        <v>552</v>
      </c>
      <c r="AV43" s="184">
        <v>1230</v>
      </c>
    </row>
    <row customHeight="true" ht="13" r="44">
      <c r="A44" s="181">
        <v>43</v>
      </c>
      <c r="B44" s="181" t="s">
        <v>321</v>
      </c>
      <c r="C44" s="183">
        <v>616</v>
      </c>
      <c r="D44" s="183">
        <v>804</v>
      </c>
      <c r="E44" s="183">
        <v>687</v>
      </c>
      <c r="F44" s="183">
        <v>343</v>
      </c>
      <c r="G44" s="183">
        <v>401</v>
      </c>
      <c r="H44" s="183">
        <v>331</v>
      </c>
      <c r="I44" s="183">
        <v>294</v>
      </c>
      <c r="J44" s="183">
        <v>319</v>
      </c>
      <c r="K44" s="183">
        <v>487</v>
      </c>
      <c r="L44" s="183">
        <v>686</v>
      </c>
      <c r="M44" s="183">
        <v>1297</v>
      </c>
      <c r="N44" s="183">
        <v>1808</v>
      </c>
      <c r="O44" s="183">
        <v>1425</v>
      </c>
      <c r="P44" s="183">
        <v>1816</v>
      </c>
      <c r="Q44" s="183">
        <v>1003</v>
      </c>
      <c r="R44" s="183">
        <v>801</v>
      </c>
      <c r="S44" s="183">
        <v>698</v>
      </c>
      <c r="T44" s="183">
        <v>555</v>
      </c>
      <c r="U44" s="183">
        <v>427</v>
      </c>
      <c r="V44" s="183">
        <v>397</v>
      </c>
      <c r="W44" s="183">
        <v>585</v>
      </c>
      <c r="X44" s="183">
        <v>996</v>
      </c>
      <c r="Y44" s="183">
        <v>1498</v>
      </c>
      <c r="Z44" s="183">
        <v>2115</v>
      </c>
      <c r="AA44" s="184">
        <v>2045</v>
      </c>
      <c r="AB44" s="184">
        <v>1745</v>
      </c>
      <c r="AC44" s="184">
        <v>1157</v>
      </c>
      <c r="AD44" s="186">
        <v>924</v>
      </c>
      <c r="AE44" s="186">
        <v>819</v>
      </c>
      <c r="AF44" s="186">
        <v>690</v>
      </c>
      <c r="AG44" s="186">
        <v>660</v>
      </c>
      <c r="AH44" s="186">
        <v>460</v>
      </c>
      <c r="AI44" s="186">
        <v>612</v>
      </c>
      <c r="AJ44" s="184">
        <v>1104</v>
      </c>
      <c r="AK44" s="184">
        <v>1808</v>
      </c>
      <c r="AL44" s="184">
        <v>2384</v>
      </c>
      <c r="AM44" s="184">
        <v>2311</v>
      </c>
      <c r="AN44" s="184">
        <v>1885</v>
      </c>
      <c r="AO44" s="184">
        <v>1399</v>
      </c>
      <c r="AP44" s="184">
        <v>1155</v>
      </c>
      <c r="AQ44" s="184">
        <v>1016</v>
      </c>
      <c r="AR44" s="186">
        <v>938</v>
      </c>
      <c r="AS44" s="186">
        <v>930</v>
      </c>
      <c r="AT44" s="186">
        <v>485</v>
      </c>
      <c r="AU44" s="186">
        <v>547</v>
      </c>
      <c r="AV44" s="184">
        <v>1214</v>
      </c>
    </row>
    <row customHeight="true" ht="13" r="45">
      <c r="A45" s="185">
        <v>44</v>
      </c>
      <c r="B45" s="181" t="s">
        <v>321</v>
      </c>
      <c r="C45" s="183">
        <v>600</v>
      </c>
      <c r="D45" s="183">
        <v>767</v>
      </c>
      <c r="E45" s="183">
        <v>679</v>
      </c>
      <c r="F45" s="183">
        <v>330</v>
      </c>
      <c r="G45" s="183">
        <v>396</v>
      </c>
      <c r="H45" s="183">
        <v>330</v>
      </c>
      <c r="I45" s="183">
        <v>291</v>
      </c>
      <c r="J45" s="183">
        <v>313</v>
      </c>
      <c r="K45" s="183">
        <v>468</v>
      </c>
      <c r="L45" s="183">
        <v>680</v>
      </c>
      <c r="M45" s="183">
        <v>1260</v>
      </c>
      <c r="N45" s="183">
        <v>1804</v>
      </c>
      <c r="O45" s="183">
        <v>1305</v>
      </c>
      <c r="P45" s="183">
        <v>1735</v>
      </c>
      <c r="Q45" s="183">
        <v>985</v>
      </c>
      <c r="R45" s="183">
        <v>797</v>
      </c>
      <c r="S45" s="183">
        <v>692</v>
      </c>
      <c r="T45" s="183">
        <v>554</v>
      </c>
      <c r="U45" s="183">
        <v>426</v>
      </c>
      <c r="V45" s="183">
        <v>378</v>
      </c>
      <c r="W45" s="183">
        <v>573</v>
      </c>
      <c r="X45" s="183">
        <v>967</v>
      </c>
      <c r="Y45" s="183">
        <v>1479</v>
      </c>
      <c r="Z45" s="183">
        <v>2093</v>
      </c>
      <c r="AA45" s="184">
        <v>1995</v>
      </c>
      <c r="AB45" s="184">
        <v>1685</v>
      </c>
      <c r="AC45" s="184">
        <v>1149</v>
      </c>
      <c r="AD45" s="186">
        <v>881</v>
      </c>
      <c r="AE45" s="186">
        <v>812</v>
      </c>
      <c r="AF45" s="186">
        <v>674</v>
      </c>
      <c r="AG45" s="186">
        <v>648</v>
      </c>
      <c r="AH45" s="186">
        <v>455</v>
      </c>
      <c r="AI45" s="186">
        <v>605</v>
      </c>
      <c r="AJ45" s="184">
        <v>1077</v>
      </c>
      <c r="AK45" s="184">
        <v>1780</v>
      </c>
      <c r="AL45" s="184">
        <v>2362</v>
      </c>
      <c r="AM45" s="184">
        <v>2281</v>
      </c>
      <c r="AN45" s="184">
        <v>1879</v>
      </c>
      <c r="AO45" s="184">
        <v>1381</v>
      </c>
      <c r="AP45" s="184">
        <v>1155</v>
      </c>
      <c r="AQ45" s="184">
        <v>1015</v>
      </c>
      <c r="AR45" s="186">
        <v>933</v>
      </c>
      <c r="AS45" s="186">
        <v>912</v>
      </c>
      <c r="AT45" s="186">
        <v>482</v>
      </c>
      <c r="AU45" s="186">
        <v>533</v>
      </c>
      <c r="AV45" s="184">
        <v>1210</v>
      </c>
    </row>
    <row customHeight="true" ht="13" r="46">
      <c r="A46" s="181">
        <v>45</v>
      </c>
      <c r="B46" s="181" t="s">
        <v>321</v>
      </c>
      <c r="C46" s="183">
        <v>593</v>
      </c>
      <c r="D46" s="183">
        <v>759</v>
      </c>
      <c r="E46" s="183">
        <v>671</v>
      </c>
      <c r="F46" s="183">
        <v>324</v>
      </c>
      <c r="G46" s="183">
        <v>390</v>
      </c>
      <c r="H46" s="183">
        <v>314</v>
      </c>
      <c r="I46" s="183">
        <v>291</v>
      </c>
      <c r="J46" s="183">
        <v>311</v>
      </c>
      <c r="K46" s="183">
        <v>462</v>
      </c>
      <c r="L46" s="183">
        <v>654</v>
      </c>
      <c r="M46" s="183">
        <v>1235</v>
      </c>
      <c r="N46" s="183">
        <v>1751</v>
      </c>
      <c r="O46" s="183">
        <v>1200</v>
      </c>
      <c r="P46" s="183">
        <v>1722</v>
      </c>
      <c r="Q46" s="183">
        <v>984</v>
      </c>
      <c r="R46" s="183">
        <v>783</v>
      </c>
      <c r="S46" s="183">
        <v>671</v>
      </c>
      <c r="T46" s="183">
        <v>527</v>
      </c>
      <c r="U46" s="183">
        <v>422</v>
      </c>
      <c r="V46" s="183">
        <v>373</v>
      </c>
      <c r="W46" s="183">
        <v>572</v>
      </c>
      <c r="X46" s="183">
        <v>956</v>
      </c>
      <c r="Y46" s="183">
        <v>1447</v>
      </c>
      <c r="Z46" s="183">
        <v>2022</v>
      </c>
      <c r="AA46" s="184">
        <v>1992</v>
      </c>
      <c r="AB46" s="184">
        <v>1660</v>
      </c>
      <c r="AC46" s="184">
        <v>1123</v>
      </c>
      <c r="AD46" s="186">
        <v>868</v>
      </c>
      <c r="AE46" s="186">
        <v>766</v>
      </c>
      <c r="AF46" s="186">
        <v>673</v>
      </c>
      <c r="AG46" s="186">
        <v>634</v>
      </c>
      <c r="AH46" s="186">
        <v>453</v>
      </c>
      <c r="AI46" s="186">
        <v>592</v>
      </c>
      <c r="AJ46" s="184">
        <v>1067</v>
      </c>
      <c r="AK46" s="184">
        <v>1732</v>
      </c>
      <c r="AL46" s="184">
        <v>2314</v>
      </c>
      <c r="AM46" s="184">
        <v>2278</v>
      </c>
      <c r="AN46" s="184">
        <v>1877</v>
      </c>
      <c r="AO46" s="184">
        <v>1335</v>
      </c>
      <c r="AP46" s="184">
        <v>1122</v>
      </c>
      <c r="AQ46" s="186">
        <v>984</v>
      </c>
      <c r="AR46" s="186">
        <v>919</v>
      </c>
      <c r="AS46" s="186">
        <v>807</v>
      </c>
      <c r="AT46" s="186">
        <v>473</v>
      </c>
      <c r="AU46" s="186">
        <v>526</v>
      </c>
      <c r="AV46" s="184">
        <v>1195</v>
      </c>
    </row>
    <row customHeight="true" ht="13" r="47">
      <c r="A47" s="185">
        <v>46</v>
      </c>
      <c r="B47" s="181" t="s">
        <v>322</v>
      </c>
      <c r="C47" s="183">
        <v>581</v>
      </c>
      <c r="D47" s="183">
        <v>747</v>
      </c>
      <c r="E47" s="183">
        <v>667</v>
      </c>
      <c r="F47" s="183">
        <v>323</v>
      </c>
      <c r="G47" s="183">
        <v>379</v>
      </c>
      <c r="H47" s="183">
        <v>299</v>
      </c>
      <c r="I47" s="183">
        <v>273</v>
      </c>
      <c r="J47" s="183">
        <v>309</v>
      </c>
      <c r="K47" s="183">
        <v>443</v>
      </c>
      <c r="L47" s="183">
        <v>647</v>
      </c>
      <c r="M47" s="183">
        <v>1162</v>
      </c>
      <c r="N47" s="183">
        <v>1744</v>
      </c>
      <c r="O47" s="183">
        <v>1194</v>
      </c>
      <c r="P47" s="183">
        <v>1719</v>
      </c>
      <c r="Q47" s="183">
        <v>976</v>
      </c>
      <c r="R47" s="183">
        <v>763</v>
      </c>
      <c r="S47" s="183">
        <v>668</v>
      </c>
      <c r="T47" s="183">
        <v>523</v>
      </c>
      <c r="U47" s="183">
        <v>386</v>
      </c>
      <c r="V47" s="183">
        <v>371</v>
      </c>
      <c r="W47" s="183">
        <v>568</v>
      </c>
      <c r="X47" s="183">
        <v>912</v>
      </c>
      <c r="Y47" s="183">
        <v>1427</v>
      </c>
      <c r="Z47" s="183">
        <v>1907</v>
      </c>
      <c r="AA47" s="184">
        <v>1967</v>
      </c>
      <c r="AB47" s="184">
        <v>1652</v>
      </c>
      <c r="AC47" s="184">
        <v>1122</v>
      </c>
      <c r="AD47" s="186">
        <v>837</v>
      </c>
      <c r="AE47" s="186">
        <v>750</v>
      </c>
      <c r="AF47" s="186">
        <v>667</v>
      </c>
      <c r="AG47" s="186">
        <v>621</v>
      </c>
      <c r="AH47" s="186">
        <v>452</v>
      </c>
      <c r="AI47" s="186">
        <v>568</v>
      </c>
      <c r="AJ47" s="184">
        <v>1054</v>
      </c>
      <c r="AK47" s="184">
        <v>1675</v>
      </c>
      <c r="AL47" s="184">
        <v>2210</v>
      </c>
      <c r="AM47" s="184">
        <v>2254</v>
      </c>
      <c r="AN47" s="184">
        <v>1876</v>
      </c>
      <c r="AO47" s="184">
        <v>1325</v>
      </c>
      <c r="AP47" s="184">
        <v>1119</v>
      </c>
      <c r="AQ47" s="186">
        <v>978</v>
      </c>
      <c r="AR47" s="186">
        <v>916</v>
      </c>
      <c r="AS47" s="186">
        <v>801</v>
      </c>
      <c r="AT47" s="186">
        <v>469</v>
      </c>
      <c r="AU47" s="186">
        <v>522</v>
      </c>
      <c r="AV47" s="184">
        <v>1177</v>
      </c>
    </row>
    <row customHeight="true" ht="13" r="48">
      <c r="A48" s="181">
        <v>47</v>
      </c>
      <c r="B48" s="181" t="s">
        <v>322</v>
      </c>
      <c r="C48" s="183">
        <v>580</v>
      </c>
      <c r="D48" s="183">
        <v>677</v>
      </c>
      <c r="E48" s="183">
        <v>647</v>
      </c>
      <c r="F48" s="183">
        <v>317</v>
      </c>
      <c r="G48" s="183">
        <v>378</v>
      </c>
      <c r="H48" s="183">
        <v>298</v>
      </c>
      <c r="I48" s="183">
        <v>273</v>
      </c>
      <c r="J48" s="183">
        <v>305</v>
      </c>
      <c r="K48" s="183">
        <v>439</v>
      </c>
      <c r="L48" s="183">
        <v>641</v>
      </c>
      <c r="M48" s="183">
        <v>1122</v>
      </c>
      <c r="N48" s="183">
        <v>1683</v>
      </c>
      <c r="O48" s="183">
        <v>1121</v>
      </c>
      <c r="P48" s="183">
        <v>1691</v>
      </c>
      <c r="Q48" s="183">
        <v>943</v>
      </c>
      <c r="R48" s="183">
        <v>751</v>
      </c>
      <c r="S48" s="183">
        <v>653</v>
      </c>
      <c r="T48" s="183">
        <v>521</v>
      </c>
      <c r="U48" s="183">
        <v>376</v>
      </c>
      <c r="V48" s="183">
        <v>370</v>
      </c>
      <c r="W48" s="183">
        <v>558</v>
      </c>
      <c r="X48" s="183">
        <v>908</v>
      </c>
      <c r="Y48" s="183">
        <v>1422</v>
      </c>
      <c r="Z48" s="183">
        <v>1879</v>
      </c>
      <c r="AA48" s="184">
        <v>1946</v>
      </c>
      <c r="AB48" s="184">
        <v>1606</v>
      </c>
      <c r="AC48" s="184">
        <v>1108</v>
      </c>
      <c r="AD48" s="186">
        <v>836</v>
      </c>
      <c r="AE48" s="186">
        <v>746</v>
      </c>
      <c r="AF48" s="186">
        <v>641</v>
      </c>
      <c r="AG48" s="186">
        <v>604</v>
      </c>
      <c r="AH48" s="186">
        <v>447</v>
      </c>
      <c r="AI48" s="186">
        <v>538</v>
      </c>
      <c r="AJ48" s="184">
        <v>1049</v>
      </c>
      <c r="AK48" s="184">
        <v>1648</v>
      </c>
      <c r="AL48" s="184">
        <v>2182</v>
      </c>
      <c r="AM48" s="184">
        <v>2252</v>
      </c>
      <c r="AN48" s="184">
        <v>1875</v>
      </c>
      <c r="AO48" s="184">
        <v>1300</v>
      </c>
      <c r="AP48" s="184">
        <v>1115</v>
      </c>
      <c r="AQ48" s="186">
        <v>977</v>
      </c>
      <c r="AR48" s="186">
        <v>886</v>
      </c>
      <c r="AS48" s="186">
        <v>781</v>
      </c>
      <c r="AT48" s="186">
        <v>467</v>
      </c>
      <c r="AU48" s="186">
        <v>499</v>
      </c>
      <c r="AV48" s="184">
        <v>1176</v>
      </c>
    </row>
    <row customHeight="true" ht="13" r="49">
      <c r="A49" s="185">
        <v>48</v>
      </c>
      <c r="B49" s="181" t="s">
        <v>322</v>
      </c>
      <c r="C49" s="183">
        <v>548</v>
      </c>
      <c r="D49" s="183">
        <v>669</v>
      </c>
      <c r="E49" s="183">
        <v>637</v>
      </c>
      <c r="F49" s="183">
        <v>312</v>
      </c>
      <c r="G49" s="183">
        <v>353</v>
      </c>
      <c r="H49" s="183">
        <v>296</v>
      </c>
      <c r="I49" s="183">
        <v>268</v>
      </c>
      <c r="J49" s="183">
        <v>303</v>
      </c>
      <c r="K49" s="183">
        <v>432</v>
      </c>
      <c r="L49" s="183">
        <v>593</v>
      </c>
      <c r="M49" s="183">
        <v>1120</v>
      </c>
      <c r="N49" s="183">
        <v>1646</v>
      </c>
      <c r="O49" s="183">
        <v>1116</v>
      </c>
      <c r="P49" s="183">
        <v>1683</v>
      </c>
      <c r="Q49" s="183">
        <v>906</v>
      </c>
      <c r="R49" s="183">
        <v>749</v>
      </c>
      <c r="S49" s="183">
        <v>645</v>
      </c>
      <c r="T49" s="183">
        <v>521</v>
      </c>
      <c r="U49" s="183">
        <v>365</v>
      </c>
      <c r="V49" s="183">
        <v>366</v>
      </c>
      <c r="W49" s="183">
        <v>549</v>
      </c>
      <c r="X49" s="183">
        <v>888</v>
      </c>
      <c r="Y49" s="183">
        <v>1393</v>
      </c>
      <c r="Z49" s="183">
        <v>1849</v>
      </c>
      <c r="AA49" s="184">
        <v>1938</v>
      </c>
      <c r="AB49" s="184">
        <v>1590</v>
      </c>
      <c r="AC49" s="184">
        <v>1108</v>
      </c>
      <c r="AD49" s="186">
        <v>810</v>
      </c>
      <c r="AE49" s="186">
        <v>734</v>
      </c>
      <c r="AF49" s="186">
        <v>637</v>
      </c>
      <c r="AG49" s="186">
        <v>577</v>
      </c>
      <c r="AH49" s="186">
        <v>447</v>
      </c>
      <c r="AI49" s="186">
        <v>531</v>
      </c>
      <c r="AJ49" s="184">
        <v>1046</v>
      </c>
      <c r="AK49" s="184">
        <v>1582</v>
      </c>
      <c r="AL49" s="184">
        <v>2180</v>
      </c>
      <c r="AM49" s="184">
        <v>2240</v>
      </c>
      <c r="AN49" s="184">
        <v>1875</v>
      </c>
      <c r="AO49" s="184">
        <v>1294</v>
      </c>
      <c r="AP49" s="184">
        <v>1097</v>
      </c>
      <c r="AQ49" s="186">
        <v>976</v>
      </c>
      <c r="AR49" s="186">
        <v>872</v>
      </c>
      <c r="AS49" s="186">
        <v>768</v>
      </c>
      <c r="AT49" s="186">
        <v>464</v>
      </c>
      <c r="AU49" s="186">
        <v>498</v>
      </c>
      <c r="AV49" s="184">
        <v>1128</v>
      </c>
    </row>
    <row customHeight="true" ht="13" r="50">
      <c r="A50" s="181">
        <v>49</v>
      </c>
      <c r="B50" s="181" t="s">
        <v>322</v>
      </c>
      <c r="C50" s="183">
        <v>535</v>
      </c>
      <c r="D50" s="183">
        <v>609</v>
      </c>
      <c r="E50" s="183">
        <v>624</v>
      </c>
      <c r="F50" s="183">
        <v>295</v>
      </c>
      <c r="G50" s="183">
        <v>352</v>
      </c>
      <c r="H50" s="183">
        <v>289</v>
      </c>
      <c r="I50" s="183">
        <v>267</v>
      </c>
      <c r="J50" s="183">
        <v>303</v>
      </c>
      <c r="K50" s="183">
        <v>416</v>
      </c>
      <c r="L50" s="183">
        <v>587</v>
      </c>
      <c r="M50" s="183">
        <v>1112</v>
      </c>
      <c r="N50" s="183">
        <v>1536</v>
      </c>
      <c r="O50" s="183">
        <v>1106</v>
      </c>
      <c r="P50" s="183">
        <v>1665</v>
      </c>
      <c r="Q50" s="183">
        <v>860</v>
      </c>
      <c r="R50" s="183">
        <v>744</v>
      </c>
      <c r="S50" s="183">
        <v>636</v>
      </c>
      <c r="T50" s="183">
        <v>518</v>
      </c>
      <c r="U50" s="183">
        <v>362</v>
      </c>
      <c r="V50" s="183">
        <v>363</v>
      </c>
      <c r="W50" s="183">
        <v>549</v>
      </c>
      <c r="X50" s="183">
        <v>863</v>
      </c>
      <c r="Y50" s="183">
        <v>1304</v>
      </c>
      <c r="Z50" s="183">
        <v>1841</v>
      </c>
      <c r="AA50" s="184">
        <v>1920</v>
      </c>
      <c r="AB50" s="184">
        <v>1567</v>
      </c>
      <c r="AC50" s="184">
        <v>1085</v>
      </c>
      <c r="AD50" s="186">
        <v>793</v>
      </c>
      <c r="AE50" s="186">
        <v>719</v>
      </c>
      <c r="AF50" s="186">
        <v>612</v>
      </c>
      <c r="AG50" s="186">
        <v>572</v>
      </c>
      <c r="AH50" s="186">
        <v>440</v>
      </c>
      <c r="AI50" s="186">
        <v>478</v>
      </c>
      <c r="AJ50" s="184">
        <v>1037</v>
      </c>
      <c r="AK50" s="184">
        <v>1569</v>
      </c>
      <c r="AL50" s="184">
        <v>2155</v>
      </c>
      <c r="AM50" s="184">
        <v>2226</v>
      </c>
      <c r="AN50" s="184">
        <v>1844</v>
      </c>
      <c r="AO50" s="184">
        <v>1265</v>
      </c>
      <c r="AP50" s="184">
        <v>1083</v>
      </c>
      <c r="AQ50" s="186">
        <v>954</v>
      </c>
      <c r="AR50" s="186">
        <v>868</v>
      </c>
      <c r="AS50" s="186">
        <v>746</v>
      </c>
      <c r="AT50" s="186">
        <v>459</v>
      </c>
      <c r="AU50" s="186">
        <v>498</v>
      </c>
      <c r="AV50" s="184">
        <v>1085</v>
      </c>
    </row>
    <row customHeight="true" ht="13" r="51">
      <c r="A51" s="185">
        <v>50</v>
      </c>
      <c r="B51" s="181" t="s">
        <v>322</v>
      </c>
      <c r="C51" s="183">
        <v>535</v>
      </c>
      <c r="D51" s="183">
        <v>580</v>
      </c>
      <c r="E51" s="183">
        <v>623</v>
      </c>
      <c r="F51" s="183">
        <v>282</v>
      </c>
      <c r="G51" s="183">
        <v>346</v>
      </c>
      <c r="H51" s="183">
        <v>286</v>
      </c>
      <c r="I51" s="183">
        <v>266</v>
      </c>
      <c r="J51" s="183">
        <v>301</v>
      </c>
      <c r="K51" s="183">
        <v>397</v>
      </c>
      <c r="L51" s="183">
        <v>567</v>
      </c>
      <c r="M51" s="183">
        <v>1086</v>
      </c>
      <c r="N51" s="183">
        <v>1489</v>
      </c>
      <c r="O51" s="183">
        <v>1095</v>
      </c>
      <c r="P51" s="183">
        <v>1639</v>
      </c>
      <c r="Q51" s="183">
        <v>856</v>
      </c>
      <c r="R51" s="183">
        <v>734</v>
      </c>
      <c r="S51" s="183">
        <v>626</v>
      </c>
      <c r="T51" s="183">
        <v>515</v>
      </c>
      <c r="U51" s="183">
        <v>357</v>
      </c>
      <c r="V51" s="183">
        <v>355</v>
      </c>
      <c r="W51" s="183">
        <v>549</v>
      </c>
      <c r="X51" s="183">
        <v>861</v>
      </c>
      <c r="Y51" s="183">
        <v>1297</v>
      </c>
      <c r="Z51" s="183">
        <v>1839</v>
      </c>
      <c r="AA51" s="184">
        <v>1860</v>
      </c>
      <c r="AB51" s="184">
        <v>1538</v>
      </c>
      <c r="AC51" s="184">
        <v>1060</v>
      </c>
      <c r="AD51" s="186">
        <v>765</v>
      </c>
      <c r="AE51" s="186">
        <v>716</v>
      </c>
      <c r="AF51" s="186">
        <v>604</v>
      </c>
      <c r="AG51" s="186">
        <v>570</v>
      </c>
      <c r="AH51" s="186">
        <v>430</v>
      </c>
      <c r="AI51" s="186">
        <v>477</v>
      </c>
      <c r="AJ51" s="184">
        <v>1035</v>
      </c>
      <c r="AK51" s="184">
        <v>1560</v>
      </c>
      <c r="AL51" s="184">
        <v>2145</v>
      </c>
      <c r="AM51" s="184">
        <v>2220</v>
      </c>
      <c r="AN51" s="184">
        <v>1842</v>
      </c>
      <c r="AO51" s="184">
        <v>1251</v>
      </c>
      <c r="AP51" s="184">
        <v>1079</v>
      </c>
      <c r="AQ51" s="186">
        <v>952</v>
      </c>
      <c r="AR51" s="186">
        <v>863</v>
      </c>
      <c r="AS51" s="186">
        <v>744</v>
      </c>
      <c r="AT51" s="186">
        <v>459</v>
      </c>
      <c r="AU51" s="186">
        <v>481</v>
      </c>
      <c r="AV51" s="184">
        <v>1080</v>
      </c>
    </row>
    <row customHeight="true" ht="13" r="52">
      <c r="A52" s="181">
        <v>51</v>
      </c>
      <c r="B52" s="181" t="s">
        <v>323</v>
      </c>
      <c r="C52" s="183">
        <v>512</v>
      </c>
      <c r="D52" s="183">
        <v>574</v>
      </c>
      <c r="E52" s="183">
        <v>623</v>
      </c>
      <c r="F52" s="183">
        <v>279</v>
      </c>
      <c r="G52" s="183">
        <v>345</v>
      </c>
      <c r="H52" s="183">
        <v>277</v>
      </c>
      <c r="I52" s="183">
        <v>258</v>
      </c>
      <c r="J52" s="183">
        <v>287</v>
      </c>
      <c r="K52" s="183">
        <v>391</v>
      </c>
      <c r="L52" s="183">
        <v>552</v>
      </c>
      <c r="M52" s="183">
        <v>1059</v>
      </c>
      <c r="N52" s="183">
        <v>1485</v>
      </c>
      <c r="O52" s="183">
        <v>1090</v>
      </c>
      <c r="P52" s="183">
        <v>1601</v>
      </c>
      <c r="Q52" s="183">
        <v>830</v>
      </c>
      <c r="R52" s="183">
        <v>733</v>
      </c>
      <c r="S52" s="183">
        <v>609</v>
      </c>
      <c r="T52" s="183">
        <v>514</v>
      </c>
      <c r="U52" s="183">
        <v>355</v>
      </c>
      <c r="V52" s="183">
        <v>349</v>
      </c>
      <c r="W52" s="183">
        <v>530</v>
      </c>
      <c r="X52" s="183">
        <v>839</v>
      </c>
      <c r="Y52" s="183">
        <v>1279</v>
      </c>
      <c r="Z52" s="183">
        <v>1720</v>
      </c>
      <c r="AA52" s="184">
        <v>1859</v>
      </c>
      <c r="AB52" s="184">
        <v>1498</v>
      </c>
      <c r="AC52" s="184">
        <v>1038</v>
      </c>
      <c r="AD52" s="186">
        <v>755</v>
      </c>
      <c r="AE52" s="186">
        <v>704</v>
      </c>
      <c r="AF52" s="186">
        <v>602</v>
      </c>
      <c r="AG52" s="186">
        <v>569</v>
      </c>
      <c r="AH52" s="186">
        <v>426</v>
      </c>
      <c r="AI52" s="186">
        <v>475</v>
      </c>
      <c r="AJ52" s="184">
        <v>1031</v>
      </c>
      <c r="AK52" s="184">
        <v>1560</v>
      </c>
      <c r="AL52" s="184">
        <v>2131</v>
      </c>
      <c r="AM52" s="184">
        <v>2211</v>
      </c>
      <c r="AN52" s="184">
        <v>1804</v>
      </c>
      <c r="AO52" s="184">
        <v>1245</v>
      </c>
      <c r="AP52" s="184">
        <v>1076</v>
      </c>
      <c r="AQ52" s="186">
        <v>945</v>
      </c>
      <c r="AR52" s="186">
        <v>856</v>
      </c>
      <c r="AS52" s="186">
        <v>741</v>
      </c>
      <c r="AT52" s="186">
        <v>457</v>
      </c>
      <c r="AU52" s="186">
        <v>473</v>
      </c>
      <c r="AV52" s="184">
        <v>1079</v>
      </c>
    </row>
    <row customHeight="true" ht="13" r="53">
      <c r="A53" s="185">
        <v>52</v>
      </c>
      <c r="B53" s="181" t="s">
        <v>323</v>
      </c>
      <c r="C53" s="183">
        <v>504</v>
      </c>
      <c r="D53" s="183">
        <v>574</v>
      </c>
      <c r="E53" s="183">
        <v>616</v>
      </c>
      <c r="F53" s="183">
        <v>275</v>
      </c>
      <c r="G53" s="183">
        <v>345</v>
      </c>
      <c r="H53" s="183">
        <v>271</v>
      </c>
      <c r="I53" s="183">
        <v>254</v>
      </c>
      <c r="J53" s="183">
        <v>281</v>
      </c>
      <c r="K53" s="183">
        <v>343</v>
      </c>
      <c r="L53" s="183">
        <v>550</v>
      </c>
      <c r="M53" s="183">
        <v>955</v>
      </c>
      <c r="N53" s="183">
        <v>1456</v>
      </c>
      <c r="O53" s="183">
        <v>1077</v>
      </c>
      <c r="P53" s="183">
        <v>1588</v>
      </c>
      <c r="Q53" s="183">
        <v>824</v>
      </c>
      <c r="R53" s="183">
        <v>719</v>
      </c>
      <c r="S53" s="183">
        <v>596</v>
      </c>
      <c r="T53" s="183">
        <v>512</v>
      </c>
      <c r="U53" s="183">
        <v>354</v>
      </c>
      <c r="V53" s="183">
        <v>345</v>
      </c>
      <c r="W53" s="183">
        <v>524</v>
      </c>
      <c r="X53" s="183">
        <v>826</v>
      </c>
      <c r="Y53" s="183">
        <v>1260</v>
      </c>
      <c r="Z53" s="183">
        <v>1708</v>
      </c>
      <c r="AA53" s="184">
        <v>1800</v>
      </c>
      <c r="AB53" s="184">
        <v>1486</v>
      </c>
      <c r="AC53" s="184">
        <v>1038</v>
      </c>
      <c r="AD53" s="186">
        <v>747</v>
      </c>
      <c r="AE53" s="186">
        <v>687</v>
      </c>
      <c r="AF53" s="186">
        <v>600</v>
      </c>
      <c r="AG53" s="186">
        <v>556</v>
      </c>
      <c r="AH53" s="186">
        <v>420</v>
      </c>
      <c r="AI53" s="186">
        <v>471</v>
      </c>
      <c r="AJ53" s="184">
        <v>1024</v>
      </c>
      <c r="AK53" s="184">
        <v>1558</v>
      </c>
      <c r="AL53" s="184">
        <v>2063</v>
      </c>
      <c r="AM53" s="184">
        <v>2204</v>
      </c>
      <c r="AN53" s="184">
        <v>1791</v>
      </c>
      <c r="AO53" s="184">
        <v>1177</v>
      </c>
      <c r="AP53" s="184">
        <v>1076</v>
      </c>
      <c r="AQ53" s="186">
        <v>938</v>
      </c>
      <c r="AR53" s="186">
        <v>856</v>
      </c>
      <c r="AS53" s="186">
        <v>733</v>
      </c>
      <c r="AT53" s="186">
        <v>432</v>
      </c>
      <c r="AU53" s="186">
        <v>471</v>
      </c>
      <c r="AV53" s="184">
        <v>1069</v>
      </c>
    </row>
    <row customHeight="true" ht="13" r="54">
      <c r="A54" s="181">
        <v>53</v>
      </c>
      <c r="B54" s="181" t="s">
        <v>323</v>
      </c>
      <c r="C54" s="183">
        <v>488</v>
      </c>
      <c r="D54" s="183">
        <v>560</v>
      </c>
      <c r="E54" s="183">
        <v>595</v>
      </c>
      <c r="F54" s="183">
        <v>275</v>
      </c>
      <c r="G54" s="183">
        <v>337</v>
      </c>
      <c r="H54" s="183">
        <v>263</v>
      </c>
      <c r="I54" s="183">
        <v>246</v>
      </c>
      <c r="J54" s="183">
        <v>277</v>
      </c>
      <c r="K54" s="183">
        <v>340</v>
      </c>
      <c r="L54" s="183">
        <v>540</v>
      </c>
      <c r="M54" s="183">
        <v>950</v>
      </c>
      <c r="N54" s="183">
        <v>1404</v>
      </c>
      <c r="O54" s="183">
        <v>1066</v>
      </c>
      <c r="P54" s="183">
        <v>1563</v>
      </c>
      <c r="Q54" s="183">
        <v>807</v>
      </c>
      <c r="R54" s="183">
        <v>718</v>
      </c>
      <c r="S54" s="183">
        <v>584</v>
      </c>
      <c r="T54" s="183">
        <v>506</v>
      </c>
      <c r="U54" s="183">
        <v>353</v>
      </c>
      <c r="V54" s="183">
        <v>341</v>
      </c>
      <c r="W54" s="183">
        <v>521</v>
      </c>
      <c r="X54" s="183">
        <v>811</v>
      </c>
      <c r="Y54" s="183">
        <v>1166</v>
      </c>
      <c r="Z54" s="183">
        <v>1697</v>
      </c>
      <c r="AA54" s="184">
        <v>1798</v>
      </c>
      <c r="AB54" s="184">
        <v>1485</v>
      </c>
      <c r="AC54" s="184">
        <v>1038</v>
      </c>
      <c r="AD54" s="186">
        <v>739</v>
      </c>
      <c r="AE54" s="186">
        <v>686</v>
      </c>
      <c r="AF54" s="186">
        <v>576</v>
      </c>
      <c r="AG54" s="186">
        <v>546</v>
      </c>
      <c r="AH54" s="186">
        <v>415</v>
      </c>
      <c r="AI54" s="186">
        <v>455</v>
      </c>
      <c r="AJ54" s="186">
        <v>992</v>
      </c>
      <c r="AK54" s="184">
        <v>1518</v>
      </c>
      <c r="AL54" s="184">
        <v>2054</v>
      </c>
      <c r="AM54" s="184">
        <v>2194</v>
      </c>
      <c r="AN54" s="184">
        <v>1783</v>
      </c>
      <c r="AO54" s="184">
        <v>1177</v>
      </c>
      <c r="AP54" s="184">
        <v>1076</v>
      </c>
      <c r="AQ54" s="186">
        <v>935</v>
      </c>
      <c r="AR54" s="186">
        <v>844</v>
      </c>
      <c r="AS54" s="186">
        <v>713</v>
      </c>
      <c r="AT54" s="186">
        <v>432</v>
      </c>
      <c r="AU54" s="186">
        <v>446</v>
      </c>
      <c r="AV54" s="184">
        <v>1056</v>
      </c>
    </row>
    <row customHeight="true" ht="13" r="55">
      <c r="A55" s="185">
        <v>54</v>
      </c>
      <c r="B55" s="181" t="s">
        <v>323</v>
      </c>
      <c r="C55" s="183">
        <v>487</v>
      </c>
      <c r="D55" s="183">
        <v>559</v>
      </c>
      <c r="E55" s="183">
        <v>591</v>
      </c>
      <c r="F55" s="183">
        <v>275</v>
      </c>
      <c r="G55" s="183">
        <v>328</v>
      </c>
      <c r="H55" s="183">
        <v>249</v>
      </c>
      <c r="I55" s="183">
        <v>243</v>
      </c>
      <c r="J55" s="183">
        <v>277</v>
      </c>
      <c r="K55" s="183">
        <v>335</v>
      </c>
      <c r="L55" s="183">
        <v>516</v>
      </c>
      <c r="M55" s="183">
        <v>932</v>
      </c>
      <c r="N55" s="183">
        <v>1393</v>
      </c>
      <c r="O55" s="183">
        <v>1065</v>
      </c>
      <c r="P55" s="183">
        <v>1536</v>
      </c>
      <c r="Q55" s="183">
        <v>801</v>
      </c>
      <c r="R55" s="183">
        <v>715</v>
      </c>
      <c r="S55" s="183">
        <v>581</v>
      </c>
      <c r="T55" s="183">
        <v>498</v>
      </c>
      <c r="U55" s="183">
        <v>348</v>
      </c>
      <c r="V55" s="183">
        <v>339</v>
      </c>
      <c r="W55" s="183">
        <v>502</v>
      </c>
      <c r="X55" s="183">
        <v>795</v>
      </c>
      <c r="Y55" s="183">
        <v>1166</v>
      </c>
      <c r="Z55" s="183">
        <v>1626</v>
      </c>
      <c r="AA55" s="184">
        <v>1798</v>
      </c>
      <c r="AB55" s="184">
        <v>1473</v>
      </c>
      <c r="AC55" s="184">
        <v>1035</v>
      </c>
      <c r="AD55" s="186">
        <v>733</v>
      </c>
      <c r="AE55" s="186">
        <v>683</v>
      </c>
      <c r="AF55" s="186">
        <v>562</v>
      </c>
      <c r="AG55" s="186">
        <v>512</v>
      </c>
      <c r="AH55" s="186">
        <v>414</v>
      </c>
      <c r="AI55" s="186">
        <v>449</v>
      </c>
      <c r="AJ55" s="186">
        <v>988</v>
      </c>
      <c r="AK55" s="184">
        <v>1518</v>
      </c>
      <c r="AL55" s="184">
        <v>2012</v>
      </c>
      <c r="AM55" s="184">
        <v>2160</v>
      </c>
      <c r="AN55" s="184">
        <v>1708</v>
      </c>
      <c r="AO55" s="184">
        <v>1177</v>
      </c>
      <c r="AP55" s="184">
        <v>1076</v>
      </c>
      <c r="AQ55" s="186">
        <v>920</v>
      </c>
      <c r="AR55" s="186">
        <v>820</v>
      </c>
      <c r="AS55" s="186">
        <v>709</v>
      </c>
      <c r="AT55" s="186">
        <v>431</v>
      </c>
      <c r="AU55" s="186">
        <v>445</v>
      </c>
      <c r="AV55" s="184">
        <v>1051</v>
      </c>
    </row>
    <row customHeight="true" ht="13" r="56">
      <c r="A56" s="181">
        <v>55</v>
      </c>
      <c r="B56" s="181" t="s">
        <v>323</v>
      </c>
      <c r="C56" s="183">
        <v>480</v>
      </c>
      <c r="D56" s="183">
        <v>558</v>
      </c>
      <c r="E56" s="183">
        <v>578</v>
      </c>
      <c r="F56" s="183">
        <v>272</v>
      </c>
      <c r="G56" s="183">
        <v>306</v>
      </c>
      <c r="H56" s="183">
        <v>244</v>
      </c>
      <c r="I56" s="183">
        <v>227</v>
      </c>
      <c r="J56" s="183">
        <v>270</v>
      </c>
      <c r="K56" s="183">
        <v>331</v>
      </c>
      <c r="L56" s="183">
        <v>511</v>
      </c>
      <c r="M56" s="183">
        <v>919</v>
      </c>
      <c r="N56" s="183">
        <v>1388</v>
      </c>
      <c r="O56" s="183">
        <v>1065</v>
      </c>
      <c r="P56" s="183">
        <v>1534</v>
      </c>
      <c r="Q56" s="183">
        <v>793</v>
      </c>
      <c r="R56" s="183">
        <v>709</v>
      </c>
      <c r="S56" s="183">
        <v>580</v>
      </c>
      <c r="T56" s="183">
        <v>496</v>
      </c>
      <c r="U56" s="183">
        <v>347</v>
      </c>
      <c r="V56" s="183">
        <v>336</v>
      </c>
      <c r="W56" s="183">
        <v>497</v>
      </c>
      <c r="X56" s="183">
        <v>773</v>
      </c>
      <c r="Y56" s="183">
        <v>1149</v>
      </c>
      <c r="Z56" s="183">
        <v>1618</v>
      </c>
      <c r="AA56" s="184">
        <v>1791</v>
      </c>
      <c r="AB56" s="184">
        <v>1447</v>
      </c>
      <c r="AC56" s="184">
        <v>1018</v>
      </c>
      <c r="AD56" s="186">
        <v>710</v>
      </c>
      <c r="AE56" s="186">
        <v>656</v>
      </c>
      <c r="AF56" s="186">
        <v>553</v>
      </c>
      <c r="AG56" s="186">
        <v>506</v>
      </c>
      <c r="AH56" s="186">
        <v>412</v>
      </c>
      <c r="AI56" s="186">
        <v>440</v>
      </c>
      <c r="AJ56" s="186">
        <v>961</v>
      </c>
      <c r="AK56" s="184">
        <v>1518</v>
      </c>
      <c r="AL56" s="184">
        <v>2002</v>
      </c>
      <c r="AM56" s="184">
        <v>2158</v>
      </c>
      <c r="AN56" s="184">
        <v>1689</v>
      </c>
      <c r="AO56" s="184">
        <v>1168</v>
      </c>
      <c r="AP56" s="184">
        <v>1076</v>
      </c>
      <c r="AQ56" s="186">
        <v>915</v>
      </c>
      <c r="AR56" s="186">
        <v>794</v>
      </c>
      <c r="AS56" s="186">
        <v>690</v>
      </c>
      <c r="AT56" s="186">
        <v>422</v>
      </c>
      <c r="AU56" s="186">
        <v>440</v>
      </c>
      <c r="AV56" s="184">
        <v>1040</v>
      </c>
    </row>
    <row customHeight="true" ht="13" r="57">
      <c r="A57" s="185">
        <v>56</v>
      </c>
      <c r="B57" s="181" t="s">
        <v>323</v>
      </c>
      <c r="C57" s="183">
        <v>478</v>
      </c>
      <c r="D57" s="183">
        <v>536</v>
      </c>
      <c r="E57" s="183">
        <v>521</v>
      </c>
      <c r="F57" s="183">
        <v>270</v>
      </c>
      <c r="G57" s="183">
        <v>304</v>
      </c>
      <c r="H57" s="183">
        <v>241</v>
      </c>
      <c r="I57" s="183">
        <v>224</v>
      </c>
      <c r="J57" s="183">
        <v>264</v>
      </c>
      <c r="K57" s="183">
        <v>326</v>
      </c>
      <c r="L57" s="183">
        <v>508</v>
      </c>
      <c r="M57" s="183">
        <v>913</v>
      </c>
      <c r="N57" s="183">
        <v>1368</v>
      </c>
      <c r="O57" s="183">
        <v>1058</v>
      </c>
      <c r="P57" s="183">
        <v>1507</v>
      </c>
      <c r="Q57" s="183">
        <v>788</v>
      </c>
      <c r="R57" s="183">
        <v>704</v>
      </c>
      <c r="S57" s="183">
        <v>576</v>
      </c>
      <c r="T57" s="183">
        <v>491</v>
      </c>
      <c r="U57" s="183">
        <v>342</v>
      </c>
      <c r="V57" s="183">
        <v>330</v>
      </c>
      <c r="W57" s="183">
        <v>489</v>
      </c>
      <c r="X57" s="183">
        <v>747</v>
      </c>
      <c r="Y57" s="183">
        <v>1145</v>
      </c>
      <c r="Z57" s="183">
        <v>1601</v>
      </c>
      <c r="AA57" s="184">
        <v>1755</v>
      </c>
      <c r="AB57" s="184">
        <v>1437</v>
      </c>
      <c r="AC57" s="184">
        <v>1016</v>
      </c>
      <c r="AD57" s="186">
        <v>710</v>
      </c>
      <c r="AE57" s="186">
        <v>655</v>
      </c>
      <c r="AF57" s="186">
        <v>530</v>
      </c>
      <c r="AG57" s="186">
        <v>504</v>
      </c>
      <c r="AH57" s="186">
        <v>386</v>
      </c>
      <c r="AI57" s="186">
        <v>434</v>
      </c>
      <c r="AJ57" s="186">
        <v>890</v>
      </c>
      <c r="AK57" s="184">
        <v>1518</v>
      </c>
      <c r="AL57" s="184">
        <v>1956</v>
      </c>
      <c r="AM57" s="184">
        <v>2154</v>
      </c>
      <c r="AN57" s="184">
        <v>1664</v>
      </c>
      <c r="AO57" s="184">
        <v>1162</v>
      </c>
      <c r="AP57" s="184">
        <v>1076</v>
      </c>
      <c r="AQ57" s="186">
        <v>848</v>
      </c>
      <c r="AR57" s="186">
        <v>790</v>
      </c>
      <c r="AS57" s="186">
        <v>681</v>
      </c>
      <c r="AT57" s="186">
        <v>421</v>
      </c>
      <c r="AU57" s="186">
        <v>440</v>
      </c>
      <c r="AV57" s="184">
        <v>1039</v>
      </c>
    </row>
    <row customHeight="true" ht="13" r="58">
      <c r="A58" s="181">
        <v>57</v>
      </c>
      <c r="B58" s="181" t="s">
        <v>323</v>
      </c>
      <c r="C58" s="183">
        <v>467</v>
      </c>
      <c r="D58" s="183">
        <v>530</v>
      </c>
      <c r="E58" s="183">
        <v>489</v>
      </c>
      <c r="F58" s="183">
        <v>257</v>
      </c>
      <c r="G58" s="183">
        <v>302</v>
      </c>
      <c r="H58" s="183">
        <v>236</v>
      </c>
      <c r="I58" s="183">
        <v>219</v>
      </c>
      <c r="J58" s="183">
        <v>259</v>
      </c>
      <c r="K58" s="183">
        <v>320</v>
      </c>
      <c r="L58" s="183">
        <v>490</v>
      </c>
      <c r="M58" s="183">
        <v>880</v>
      </c>
      <c r="N58" s="183">
        <v>1337</v>
      </c>
      <c r="O58" s="183">
        <v>1017</v>
      </c>
      <c r="P58" s="183">
        <v>1480</v>
      </c>
      <c r="Q58" s="183">
        <v>786</v>
      </c>
      <c r="R58" s="183">
        <v>702</v>
      </c>
      <c r="S58" s="183">
        <v>572</v>
      </c>
      <c r="T58" s="183">
        <v>490</v>
      </c>
      <c r="U58" s="183">
        <v>342</v>
      </c>
      <c r="V58" s="183">
        <v>330</v>
      </c>
      <c r="W58" s="183">
        <v>465</v>
      </c>
      <c r="X58" s="183">
        <v>745</v>
      </c>
      <c r="Y58" s="183">
        <v>1109</v>
      </c>
      <c r="Z58" s="183">
        <v>1578</v>
      </c>
      <c r="AA58" s="184">
        <v>1725</v>
      </c>
      <c r="AB58" s="184">
        <v>1421</v>
      </c>
      <c r="AC58" s="184">
        <v>1014</v>
      </c>
      <c r="AD58" s="186">
        <v>703</v>
      </c>
      <c r="AE58" s="186">
        <v>649</v>
      </c>
      <c r="AF58" s="186">
        <v>529</v>
      </c>
      <c r="AG58" s="186">
        <v>498</v>
      </c>
      <c r="AH58" s="186">
        <v>379</v>
      </c>
      <c r="AI58" s="186">
        <v>432</v>
      </c>
      <c r="AJ58" s="186">
        <v>889</v>
      </c>
      <c r="AK58" s="184">
        <v>1509</v>
      </c>
      <c r="AL58" s="184">
        <v>1946</v>
      </c>
      <c r="AM58" s="184">
        <v>2151</v>
      </c>
      <c r="AN58" s="184">
        <v>1661</v>
      </c>
      <c r="AO58" s="184">
        <v>1124</v>
      </c>
      <c r="AP58" s="184">
        <v>1076</v>
      </c>
      <c r="AQ58" s="186">
        <v>823</v>
      </c>
      <c r="AR58" s="186">
        <v>790</v>
      </c>
      <c r="AS58" s="186">
        <v>679</v>
      </c>
      <c r="AT58" s="186">
        <v>420</v>
      </c>
      <c r="AU58" s="186">
        <v>439</v>
      </c>
      <c r="AV58" s="184">
        <v>1025</v>
      </c>
    </row>
    <row customHeight="true" ht="13" r="59">
      <c r="A59" s="185">
        <v>58</v>
      </c>
      <c r="B59" s="181" t="s">
        <v>323</v>
      </c>
      <c r="C59" s="183">
        <v>448</v>
      </c>
      <c r="D59" s="183">
        <v>529</v>
      </c>
      <c r="E59" s="183">
        <v>478</v>
      </c>
      <c r="F59" s="183">
        <v>255</v>
      </c>
      <c r="G59" s="183">
        <v>302</v>
      </c>
      <c r="H59" s="183">
        <v>233</v>
      </c>
      <c r="I59" s="183">
        <v>212</v>
      </c>
      <c r="J59" s="183">
        <v>243</v>
      </c>
      <c r="K59" s="183">
        <v>318</v>
      </c>
      <c r="L59" s="183">
        <v>487</v>
      </c>
      <c r="M59" s="183">
        <v>868</v>
      </c>
      <c r="N59" s="183">
        <v>1336</v>
      </c>
      <c r="O59" s="183">
        <v>1012</v>
      </c>
      <c r="P59" s="183">
        <v>1436</v>
      </c>
      <c r="Q59" s="183">
        <v>778</v>
      </c>
      <c r="R59" s="183">
        <v>681</v>
      </c>
      <c r="S59" s="183">
        <v>567</v>
      </c>
      <c r="T59" s="183">
        <v>489</v>
      </c>
      <c r="U59" s="183">
        <v>337</v>
      </c>
      <c r="V59" s="183">
        <v>328</v>
      </c>
      <c r="W59" s="183">
        <v>438</v>
      </c>
      <c r="X59" s="183">
        <v>738</v>
      </c>
      <c r="Y59" s="183">
        <v>1105</v>
      </c>
      <c r="Z59" s="183">
        <v>1564</v>
      </c>
      <c r="AA59" s="184">
        <v>1696</v>
      </c>
      <c r="AB59" s="184">
        <v>1417</v>
      </c>
      <c r="AC59" s="184">
        <v>1014</v>
      </c>
      <c r="AD59" s="186">
        <v>702</v>
      </c>
      <c r="AE59" s="186">
        <v>645</v>
      </c>
      <c r="AF59" s="186">
        <v>523</v>
      </c>
      <c r="AG59" s="186">
        <v>498</v>
      </c>
      <c r="AH59" s="186">
        <v>377</v>
      </c>
      <c r="AI59" s="186">
        <v>431</v>
      </c>
      <c r="AJ59" s="186">
        <v>880</v>
      </c>
      <c r="AK59" s="184">
        <v>1503</v>
      </c>
      <c r="AL59" s="184">
        <v>1904</v>
      </c>
      <c r="AM59" s="184">
        <v>2149</v>
      </c>
      <c r="AN59" s="184">
        <v>1647</v>
      </c>
      <c r="AO59" s="184">
        <v>1121</v>
      </c>
      <c r="AP59" s="184">
        <v>1062</v>
      </c>
      <c r="AQ59" s="186">
        <v>808</v>
      </c>
      <c r="AR59" s="186">
        <v>786</v>
      </c>
      <c r="AS59" s="186">
        <v>666</v>
      </c>
      <c r="AT59" s="186">
        <v>411</v>
      </c>
      <c r="AU59" s="186">
        <v>434</v>
      </c>
      <c r="AV59" s="186">
        <v>990</v>
      </c>
    </row>
    <row customHeight="true" ht="13" r="60">
      <c r="A60" s="181">
        <v>59</v>
      </c>
      <c r="B60" s="181" t="s">
        <v>323</v>
      </c>
      <c r="C60" s="183">
        <v>448</v>
      </c>
      <c r="D60" s="183">
        <v>525</v>
      </c>
      <c r="E60" s="183">
        <v>477</v>
      </c>
      <c r="F60" s="183">
        <v>251</v>
      </c>
      <c r="G60" s="183">
        <v>269</v>
      </c>
      <c r="H60" s="183">
        <v>232</v>
      </c>
      <c r="I60" s="183">
        <v>209</v>
      </c>
      <c r="J60" s="183">
        <v>240</v>
      </c>
      <c r="K60" s="183">
        <v>305</v>
      </c>
      <c r="L60" s="183">
        <v>478</v>
      </c>
      <c r="M60" s="183">
        <v>858</v>
      </c>
      <c r="N60" s="183">
        <v>1308</v>
      </c>
      <c r="O60" s="183">
        <v>997</v>
      </c>
      <c r="P60" s="183">
        <v>1430</v>
      </c>
      <c r="Q60" s="183">
        <v>775</v>
      </c>
      <c r="R60" s="183">
        <v>672</v>
      </c>
      <c r="S60" s="183">
        <v>567</v>
      </c>
      <c r="T60" s="183">
        <v>484</v>
      </c>
      <c r="U60" s="183">
        <v>332</v>
      </c>
      <c r="V60" s="183">
        <v>326</v>
      </c>
      <c r="W60" s="183">
        <v>432</v>
      </c>
      <c r="X60" s="183">
        <v>716</v>
      </c>
      <c r="Y60" s="183">
        <v>1094</v>
      </c>
      <c r="Z60" s="183">
        <v>1552</v>
      </c>
      <c r="AA60" s="184">
        <v>1635</v>
      </c>
      <c r="AB60" s="184">
        <v>1367</v>
      </c>
      <c r="AC60" s="184">
        <v>1013</v>
      </c>
      <c r="AD60" s="186">
        <v>701</v>
      </c>
      <c r="AE60" s="186">
        <v>644</v>
      </c>
      <c r="AF60" s="186">
        <v>522</v>
      </c>
      <c r="AG60" s="186">
        <v>497</v>
      </c>
      <c r="AH60" s="186">
        <v>372</v>
      </c>
      <c r="AI60" s="186">
        <v>425</v>
      </c>
      <c r="AJ60" s="186">
        <v>877</v>
      </c>
      <c r="AK60" s="184">
        <v>1494</v>
      </c>
      <c r="AL60" s="184">
        <v>1795</v>
      </c>
      <c r="AM60" s="184">
        <v>2148</v>
      </c>
      <c r="AN60" s="184">
        <v>1627</v>
      </c>
      <c r="AO60" s="184">
        <v>1060</v>
      </c>
      <c r="AP60" s="184">
        <v>1059</v>
      </c>
      <c r="AQ60" s="186">
        <v>799</v>
      </c>
      <c r="AR60" s="186">
        <v>783</v>
      </c>
      <c r="AS60" s="186">
        <v>665</v>
      </c>
      <c r="AT60" s="186">
        <v>411</v>
      </c>
      <c r="AU60" s="186">
        <v>428</v>
      </c>
      <c r="AV60" s="186">
        <v>979</v>
      </c>
    </row>
    <row customHeight="true" ht="13" r="61">
      <c r="A61" s="185">
        <v>60</v>
      </c>
      <c r="B61" s="181" t="s">
        <v>323</v>
      </c>
      <c r="C61" s="183">
        <v>447</v>
      </c>
      <c r="D61" s="183">
        <v>524</v>
      </c>
      <c r="E61" s="183">
        <v>475</v>
      </c>
      <c r="F61" s="183">
        <v>241</v>
      </c>
      <c r="G61" s="183">
        <v>265</v>
      </c>
      <c r="H61" s="183">
        <v>226</v>
      </c>
      <c r="I61" s="183">
        <v>209</v>
      </c>
      <c r="J61" s="183">
        <v>238</v>
      </c>
      <c r="K61" s="183">
        <v>305</v>
      </c>
      <c r="L61" s="183">
        <v>444</v>
      </c>
      <c r="M61" s="183">
        <v>832</v>
      </c>
      <c r="N61" s="183">
        <v>1268</v>
      </c>
      <c r="O61" s="183">
        <v>997</v>
      </c>
      <c r="P61" s="183">
        <v>1400</v>
      </c>
      <c r="Q61" s="183">
        <v>769</v>
      </c>
      <c r="R61" s="183">
        <v>629</v>
      </c>
      <c r="S61" s="183">
        <v>563</v>
      </c>
      <c r="T61" s="183">
        <v>475</v>
      </c>
      <c r="U61" s="183">
        <v>331</v>
      </c>
      <c r="V61" s="183">
        <v>325</v>
      </c>
      <c r="W61" s="183">
        <v>430</v>
      </c>
      <c r="X61" s="183">
        <v>715</v>
      </c>
      <c r="Y61" s="183">
        <v>1089</v>
      </c>
      <c r="Z61" s="183">
        <v>1534</v>
      </c>
      <c r="AA61" s="184">
        <v>1633</v>
      </c>
      <c r="AB61" s="184">
        <v>1335</v>
      </c>
      <c r="AC61" s="184">
        <v>1006</v>
      </c>
      <c r="AD61" s="186">
        <v>700</v>
      </c>
      <c r="AE61" s="186">
        <v>643</v>
      </c>
      <c r="AF61" s="186">
        <v>508</v>
      </c>
      <c r="AG61" s="186">
        <v>497</v>
      </c>
      <c r="AH61" s="186">
        <v>368</v>
      </c>
      <c r="AI61" s="186">
        <v>419</v>
      </c>
      <c r="AJ61" s="186">
        <v>856</v>
      </c>
      <c r="AK61" s="184">
        <v>1486</v>
      </c>
      <c r="AL61" s="184">
        <v>1779</v>
      </c>
      <c r="AM61" s="184">
        <v>2121</v>
      </c>
      <c r="AN61" s="184">
        <v>1621</v>
      </c>
      <c r="AO61" s="184">
        <v>1028</v>
      </c>
      <c r="AP61" s="184">
        <v>1058</v>
      </c>
      <c r="AQ61" s="186">
        <v>784</v>
      </c>
      <c r="AR61" s="186">
        <v>781</v>
      </c>
      <c r="AS61" s="186">
        <v>662</v>
      </c>
      <c r="AT61" s="186">
        <v>411</v>
      </c>
      <c r="AU61" s="186">
        <v>419</v>
      </c>
      <c r="AV61" s="186">
        <v>975</v>
      </c>
    </row>
    <row customHeight="true" ht="13" r="62">
      <c r="A62" s="181">
        <v>61</v>
      </c>
      <c r="B62" s="181" t="s">
        <v>323</v>
      </c>
      <c r="C62" s="183">
        <v>445</v>
      </c>
      <c r="D62" s="183">
        <v>519</v>
      </c>
      <c r="E62" s="183">
        <v>464</v>
      </c>
      <c r="F62" s="183">
        <v>240</v>
      </c>
      <c r="G62" s="183">
        <v>264</v>
      </c>
      <c r="H62" s="183">
        <v>218</v>
      </c>
      <c r="I62" s="183">
        <v>208</v>
      </c>
      <c r="J62" s="183">
        <v>238</v>
      </c>
      <c r="K62" s="183">
        <v>303</v>
      </c>
      <c r="L62" s="183">
        <v>437</v>
      </c>
      <c r="M62" s="183">
        <v>815</v>
      </c>
      <c r="N62" s="183">
        <v>1201</v>
      </c>
      <c r="O62" s="183">
        <v>989</v>
      </c>
      <c r="P62" s="183">
        <v>1358</v>
      </c>
      <c r="Q62" s="183">
        <v>769</v>
      </c>
      <c r="R62" s="183">
        <v>619</v>
      </c>
      <c r="S62" s="183">
        <v>543</v>
      </c>
      <c r="T62" s="183">
        <v>468</v>
      </c>
      <c r="U62" s="183">
        <v>327</v>
      </c>
      <c r="V62" s="183">
        <v>324</v>
      </c>
      <c r="W62" s="183">
        <v>427</v>
      </c>
      <c r="X62" s="183">
        <v>714</v>
      </c>
      <c r="Y62" s="183">
        <v>1073</v>
      </c>
      <c r="Z62" s="183">
        <v>1521</v>
      </c>
      <c r="AA62" s="184">
        <v>1632</v>
      </c>
      <c r="AB62" s="184">
        <v>1329</v>
      </c>
      <c r="AC62" s="186">
        <v>979</v>
      </c>
      <c r="AD62" s="186">
        <v>691</v>
      </c>
      <c r="AE62" s="186">
        <v>629</v>
      </c>
      <c r="AF62" s="186">
        <v>498</v>
      </c>
      <c r="AG62" s="186">
        <v>490</v>
      </c>
      <c r="AH62" s="186">
        <v>367</v>
      </c>
      <c r="AI62" s="186">
        <v>419</v>
      </c>
      <c r="AJ62" s="186">
        <v>828</v>
      </c>
      <c r="AK62" s="184">
        <v>1467</v>
      </c>
      <c r="AL62" s="184">
        <v>1774</v>
      </c>
      <c r="AM62" s="184">
        <v>2104</v>
      </c>
      <c r="AN62" s="184">
        <v>1618</v>
      </c>
      <c r="AO62" s="184">
        <v>1020</v>
      </c>
      <c r="AP62" s="184">
        <v>1057</v>
      </c>
      <c r="AQ62" s="186">
        <v>781</v>
      </c>
      <c r="AR62" s="186">
        <v>779</v>
      </c>
      <c r="AS62" s="186">
        <v>662</v>
      </c>
      <c r="AT62" s="186">
        <v>410</v>
      </c>
      <c r="AU62" s="186">
        <v>413</v>
      </c>
      <c r="AV62" s="186">
        <v>972</v>
      </c>
    </row>
    <row customHeight="true" ht="13" r="63">
      <c r="A63" s="185">
        <v>62</v>
      </c>
      <c r="B63" s="181" t="s">
        <v>323</v>
      </c>
      <c r="C63" s="183">
        <v>441</v>
      </c>
      <c r="D63" s="183">
        <v>496</v>
      </c>
      <c r="E63" s="183">
        <v>440</v>
      </c>
      <c r="F63" s="183">
        <v>240</v>
      </c>
      <c r="G63" s="183">
        <v>263</v>
      </c>
      <c r="H63" s="183">
        <v>212</v>
      </c>
      <c r="I63" s="183">
        <v>208</v>
      </c>
      <c r="J63" s="183">
        <v>216</v>
      </c>
      <c r="K63" s="183">
        <v>302</v>
      </c>
      <c r="L63" s="183">
        <v>431</v>
      </c>
      <c r="M63" s="183">
        <v>808</v>
      </c>
      <c r="N63" s="183">
        <v>1187</v>
      </c>
      <c r="O63" s="183">
        <v>982</v>
      </c>
      <c r="P63" s="183">
        <v>1356</v>
      </c>
      <c r="Q63" s="183">
        <v>765</v>
      </c>
      <c r="R63" s="183">
        <v>591</v>
      </c>
      <c r="S63" s="183">
        <v>535</v>
      </c>
      <c r="T63" s="183">
        <v>463</v>
      </c>
      <c r="U63" s="183">
        <v>316</v>
      </c>
      <c r="V63" s="183">
        <v>309</v>
      </c>
      <c r="W63" s="183">
        <v>419</v>
      </c>
      <c r="X63" s="183">
        <v>708</v>
      </c>
      <c r="Y63" s="183">
        <v>1067</v>
      </c>
      <c r="Z63" s="183">
        <v>1521</v>
      </c>
      <c r="AA63" s="184">
        <v>1621</v>
      </c>
      <c r="AB63" s="184">
        <v>1300</v>
      </c>
      <c r="AC63" s="186">
        <v>954</v>
      </c>
      <c r="AD63" s="186">
        <v>687</v>
      </c>
      <c r="AE63" s="186">
        <v>629</v>
      </c>
      <c r="AF63" s="186">
        <v>497</v>
      </c>
      <c r="AG63" s="186">
        <v>490</v>
      </c>
      <c r="AH63" s="186">
        <v>353</v>
      </c>
      <c r="AI63" s="186">
        <v>409</v>
      </c>
      <c r="AJ63" s="186">
        <v>825</v>
      </c>
      <c r="AK63" s="184">
        <v>1383</v>
      </c>
      <c r="AL63" s="184">
        <v>1766</v>
      </c>
      <c r="AM63" s="184">
        <v>1972</v>
      </c>
      <c r="AN63" s="184">
        <v>1587</v>
      </c>
      <c r="AO63" s="184">
        <v>1020</v>
      </c>
      <c r="AP63" s="184">
        <v>1054</v>
      </c>
      <c r="AQ63" s="186">
        <v>768</v>
      </c>
      <c r="AR63" s="186">
        <v>779</v>
      </c>
      <c r="AS63" s="186">
        <v>662</v>
      </c>
      <c r="AT63" s="186">
        <v>389</v>
      </c>
      <c r="AU63" s="186">
        <v>406</v>
      </c>
      <c r="AV63" s="186">
        <v>965</v>
      </c>
    </row>
    <row customHeight="true" ht="13" r="64">
      <c r="A64" s="181">
        <v>63</v>
      </c>
      <c r="B64" s="181" t="s">
        <v>323</v>
      </c>
      <c r="C64" s="183">
        <v>436</v>
      </c>
      <c r="D64" s="183">
        <v>472</v>
      </c>
      <c r="E64" s="183">
        <v>435</v>
      </c>
      <c r="F64" s="183">
        <v>233</v>
      </c>
      <c r="G64" s="183">
        <v>263</v>
      </c>
      <c r="H64" s="183">
        <v>210</v>
      </c>
      <c r="I64" s="183">
        <v>205</v>
      </c>
      <c r="J64" s="183">
        <v>212</v>
      </c>
      <c r="K64" s="183">
        <v>302</v>
      </c>
      <c r="L64" s="183">
        <v>425</v>
      </c>
      <c r="M64" s="183">
        <v>794</v>
      </c>
      <c r="N64" s="183">
        <v>1170</v>
      </c>
      <c r="O64" s="183">
        <v>979</v>
      </c>
      <c r="P64" s="183">
        <v>1338</v>
      </c>
      <c r="Q64" s="183">
        <v>764</v>
      </c>
      <c r="R64" s="183">
        <v>577</v>
      </c>
      <c r="S64" s="183">
        <v>526</v>
      </c>
      <c r="T64" s="183">
        <v>463</v>
      </c>
      <c r="U64" s="183">
        <v>315</v>
      </c>
      <c r="V64" s="183">
        <v>306</v>
      </c>
      <c r="W64" s="183">
        <v>413</v>
      </c>
      <c r="X64" s="183">
        <v>704</v>
      </c>
      <c r="Y64" s="183">
        <v>1055</v>
      </c>
      <c r="Z64" s="183">
        <v>1490</v>
      </c>
      <c r="AA64" s="184">
        <v>1565</v>
      </c>
      <c r="AB64" s="184">
        <v>1270</v>
      </c>
      <c r="AC64" s="186">
        <v>951</v>
      </c>
      <c r="AD64" s="186">
        <v>681</v>
      </c>
      <c r="AE64" s="186">
        <v>619</v>
      </c>
      <c r="AF64" s="186">
        <v>489</v>
      </c>
      <c r="AG64" s="186">
        <v>482</v>
      </c>
      <c r="AH64" s="186">
        <v>343</v>
      </c>
      <c r="AI64" s="186">
        <v>405</v>
      </c>
      <c r="AJ64" s="186">
        <v>820</v>
      </c>
      <c r="AK64" s="184">
        <v>1356</v>
      </c>
      <c r="AL64" s="184">
        <v>1766</v>
      </c>
      <c r="AM64" s="184">
        <v>1955</v>
      </c>
      <c r="AN64" s="184">
        <v>1527</v>
      </c>
      <c r="AO64" s="186">
        <v>997</v>
      </c>
      <c r="AP64" s="184">
        <v>1053</v>
      </c>
      <c r="AQ64" s="186">
        <v>766</v>
      </c>
      <c r="AR64" s="186">
        <v>778</v>
      </c>
      <c r="AS64" s="186">
        <v>661</v>
      </c>
      <c r="AT64" s="186">
        <v>385</v>
      </c>
      <c r="AU64" s="186">
        <v>405</v>
      </c>
      <c r="AV64" s="186">
        <v>961</v>
      </c>
    </row>
    <row customHeight="true" ht="13" r="65">
      <c r="A65" s="185">
        <v>64</v>
      </c>
      <c r="B65" s="181" t="s">
        <v>323</v>
      </c>
      <c r="C65" s="183">
        <v>434</v>
      </c>
      <c r="D65" s="183">
        <v>470</v>
      </c>
      <c r="E65" s="183">
        <v>434</v>
      </c>
      <c r="F65" s="183">
        <v>233</v>
      </c>
      <c r="G65" s="183">
        <v>257</v>
      </c>
      <c r="H65" s="183">
        <v>209</v>
      </c>
      <c r="I65" s="183">
        <v>204</v>
      </c>
      <c r="J65" s="183">
        <v>210</v>
      </c>
      <c r="K65" s="183">
        <v>299</v>
      </c>
      <c r="L65" s="183">
        <v>422</v>
      </c>
      <c r="M65" s="183">
        <v>793</v>
      </c>
      <c r="N65" s="183">
        <v>1168</v>
      </c>
      <c r="O65" s="183">
        <v>976</v>
      </c>
      <c r="P65" s="183">
        <v>1322</v>
      </c>
      <c r="Q65" s="183">
        <v>759</v>
      </c>
      <c r="R65" s="183">
        <v>573</v>
      </c>
      <c r="S65" s="183">
        <v>526</v>
      </c>
      <c r="T65" s="183">
        <v>459</v>
      </c>
      <c r="U65" s="183">
        <v>305</v>
      </c>
      <c r="V65" s="183">
        <v>297</v>
      </c>
      <c r="W65" s="183">
        <v>400</v>
      </c>
      <c r="X65" s="183">
        <v>692</v>
      </c>
      <c r="Y65" s="183">
        <v>1055</v>
      </c>
      <c r="Z65" s="183">
        <v>1485</v>
      </c>
      <c r="AA65" s="184">
        <v>1518</v>
      </c>
      <c r="AB65" s="184">
        <v>1222</v>
      </c>
      <c r="AC65" s="186">
        <v>946</v>
      </c>
      <c r="AD65" s="186">
        <v>676</v>
      </c>
      <c r="AE65" s="186">
        <v>603</v>
      </c>
      <c r="AF65" s="186">
        <v>480</v>
      </c>
      <c r="AG65" s="186">
        <v>465</v>
      </c>
      <c r="AH65" s="186">
        <v>341</v>
      </c>
      <c r="AI65" s="186">
        <v>400</v>
      </c>
      <c r="AJ65" s="186">
        <v>799</v>
      </c>
      <c r="AK65" s="184">
        <v>1347</v>
      </c>
      <c r="AL65" s="184">
        <v>1766</v>
      </c>
      <c r="AM65" s="184">
        <v>1949</v>
      </c>
      <c r="AN65" s="184">
        <v>1457</v>
      </c>
      <c r="AO65" s="186">
        <v>936</v>
      </c>
      <c r="AP65" s="184">
        <v>1048</v>
      </c>
      <c r="AQ65" s="186">
        <v>763</v>
      </c>
      <c r="AR65" s="186">
        <v>762</v>
      </c>
      <c r="AS65" s="186">
        <v>648</v>
      </c>
      <c r="AT65" s="186">
        <v>385</v>
      </c>
      <c r="AU65" s="186">
        <v>401</v>
      </c>
      <c r="AV65" s="186">
        <v>959</v>
      </c>
    </row>
    <row customHeight="true" ht="13" r="66">
      <c r="A66" s="181">
        <v>65</v>
      </c>
      <c r="B66" s="181" t="s">
        <v>323</v>
      </c>
      <c r="C66" s="183">
        <v>431</v>
      </c>
      <c r="D66" s="183">
        <v>465</v>
      </c>
      <c r="E66" s="183">
        <v>424</v>
      </c>
      <c r="F66" s="183">
        <v>229</v>
      </c>
      <c r="G66" s="183">
        <v>256</v>
      </c>
      <c r="H66" s="183">
        <v>209</v>
      </c>
      <c r="I66" s="183">
        <v>201</v>
      </c>
      <c r="J66" s="183">
        <v>207</v>
      </c>
      <c r="K66" s="183">
        <v>293</v>
      </c>
      <c r="L66" s="183">
        <v>422</v>
      </c>
      <c r="M66" s="183">
        <v>787</v>
      </c>
      <c r="N66" s="183">
        <v>1152</v>
      </c>
      <c r="O66" s="183">
        <v>960</v>
      </c>
      <c r="P66" s="183">
        <v>1312</v>
      </c>
      <c r="Q66" s="183">
        <v>747</v>
      </c>
      <c r="R66" s="183">
        <v>562</v>
      </c>
      <c r="S66" s="183">
        <v>523</v>
      </c>
      <c r="T66" s="183">
        <v>456</v>
      </c>
      <c r="U66" s="183">
        <v>305</v>
      </c>
      <c r="V66" s="183">
        <v>297</v>
      </c>
      <c r="W66" s="183">
        <v>394</v>
      </c>
      <c r="X66" s="183">
        <v>688</v>
      </c>
      <c r="Y66" s="183">
        <v>1050</v>
      </c>
      <c r="Z66" s="183">
        <v>1475</v>
      </c>
      <c r="AA66" s="184">
        <v>1514</v>
      </c>
      <c r="AB66" s="184">
        <v>1205</v>
      </c>
      <c r="AC66" s="186">
        <v>927</v>
      </c>
      <c r="AD66" s="186">
        <v>667</v>
      </c>
      <c r="AE66" s="186">
        <v>601</v>
      </c>
      <c r="AF66" s="186">
        <v>466</v>
      </c>
      <c r="AG66" s="186">
        <v>455</v>
      </c>
      <c r="AH66" s="186">
        <v>339</v>
      </c>
      <c r="AI66" s="186">
        <v>389</v>
      </c>
      <c r="AJ66" s="186">
        <v>793</v>
      </c>
      <c r="AK66" s="184">
        <v>1344</v>
      </c>
      <c r="AL66" s="184">
        <v>1766</v>
      </c>
      <c r="AM66" s="184">
        <v>1947</v>
      </c>
      <c r="AN66" s="184">
        <v>1432</v>
      </c>
      <c r="AO66" s="186">
        <v>908</v>
      </c>
      <c r="AP66" s="186">
        <v>997</v>
      </c>
      <c r="AQ66" s="186">
        <v>762</v>
      </c>
      <c r="AR66" s="186">
        <v>738</v>
      </c>
      <c r="AS66" s="186">
        <v>640</v>
      </c>
      <c r="AT66" s="186">
        <v>378</v>
      </c>
      <c r="AU66" s="186">
        <v>400</v>
      </c>
      <c r="AV66" s="186">
        <v>954</v>
      </c>
    </row>
    <row customHeight="true" ht="13" r="67">
      <c r="A67" s="185">
        <v>66</v>
      </c>
      <c r="B67" s="181" t="s">
        <v>323</v>
      </c>
      <c r="C67" s="183">
        <v>423</v>
      </c>
      <c r="D67" s="183">
        <v>465</v>
      </c>
      <c r="E67" s="183">
        <v>422</v>
      </c>
      <c r="F67" s="183">
        <v>223</v>
      </c>
      <c r="G67" s="183">
        <v>252</v>
      </c>
      <c r="H67" s="183">
        <v>208</v>
      </c>
      <c r="I67" s="183">
        <v>200</v>
      </c>
      <c r="J67" s="183">
        <v>207</v>
      </c>
      <c r="K67" s="183">
        <v>291</v>
      </c>
      <c r="L67" s="183">
        <v>387</v>
      </c>
      <c r="M67" s="183">
        <v>786</v>
      </c>
      <c r="N67" s="183">
        <v>1150</v>
      </c>
      <c r="O67" s="183">
        <v>939</v>
      </c>
      <c r="P67" s="183">
        <v>1272</v>
      </c>
      <c r="Q67" s="183">
        <v>725</v>
      </c>
      <c r="R67" s="183">
        <v>557</v>
      </c>
      <c r="S67" s="183">
        <v>523</v>
      </c>
      <c r="T67" s="183">
        <v>455</v>
      </c>
      <c r="U67" s="183">
        <v>303</v>
      </c>
      <c r="V67" s="183">
        <v>292</v>
      </c>
      <c r="W67" s="183">
        <v>394</v>
      </c>
      <c r="X67" s="183">
        <v>675</v>
      </c>
      <c r="Y67" s="183">
        <v>1048</v>
      </c>
      <c r="Z67" s="183">
        <v>1426</v>
      </c>
      <c r="AA67" s="184">
        <v>1512</v>
      </c>
      <c r="AB67" s="184">
        <v>1150</v>
      </c>
      <c r="AC67" s="186">
        <v>925</v>
      </c>
      <c r="AD67" s="186">
        <v>666</v>
      </c>
      <c r="AE67" s="186">
        <v>580</v>
      </c>
      <c r="AF67" s="186">
        <v>465</v>
      </c>
      <c r="AG67" s="186">
        <v>442</v>
      </c>
      <c r="AH67" s="186">
        <v>336</v>
      </c>
      <c r="AI67" s="186">
        <v>386</v>
      </c>
      <c r="AJ67" s="186">
        <v>782</v>
      </c>
      <c r="AK67" s="184">
        <v>1328</v>
      </c>
      <c r="AL67" s="184">
        <v>1766</v>
      </c>
      <c r="AM67" s="184">
        <v>1925</v>
      </c>
      <c r="AN67" s="184">
        <v>1399</v>
      </c>
      <c r="AO67" s="186">
        <v>904</v>
      </c>
      <c r="AP67" s="186">
        <v>985</v>
      </c>
      <c r="AQ67" s="186">
        <v>754</v>
      </c>
      <c r="AR67" s="186">
        <v>738</v>
      </c>
      <c r="AS67" s="186">
        <v>638</v>
      </c>
      <c r="AT67" s="186">
        <v>376</v>
      </c>
      <c r="AU67" s="186">
        <v>398</v>
      </c>
      <c r="AV67" s="186">
        <v>952</v>
      </c>
    </row>
    <row customHeight="true" ht="13" r="68">
      <c r="A68" s="181">
        <v>67</v>
      </c>
      <c r="B68" s="181" t="s">
        <v>323</v>
      </c>
      <c r="C68" s="183">
        <v>422</v>
      </c>
      <c r="D68" s="183">
        <v>461</v>
      </c>
      <c r="E68" s="183">
        <v>417</v>
      </c>
      <c r="F68" s="183">
        <v>223</v>
      </c>
      <c r="G68" s="183">
        <v>234</v>
      </c>
      <c r="H68" s="183">
        <v>208</v>
      </c>
      <c r="I68" s="183">
        <v>199</v>
      </c>
      <c r="J68" s="183">
        <v>207</v>
      </c>
      <c r="K68" s="183">
        <v>290</v>
      </c>
      <c r="L68" s="183">
        <v>384</v>
      </c>
      <c r="M68" s="183">
        <v>783</v>
      </c>
      <c r="N68" s="183">
        <v>1136</v>
      </c>
      <c r="O68" s="183">
        <v>925</v>
      </c>
      <c r="P68" s="183">
        <v>1270</v>
      </c>
      <c r="Q68" s="183">
        <v>718</v>
      </c>
      <c r="R68" s="183">
        <v>555</v>
      </c>
      <c r="S68" s="183">
        <v>518</v>
      </c>
      <c r="T68" s="183">
        <v>452</v>
      </c>
      <c r="U68" s="183">
        <v>300</v>
      </c>
      <c r="V68" s="183">
        <v>278</v>
      </c>
      <c r="W68" s="183">
        <v>394</v>
      </c>
      <c r="X68" s="183">
        <v>668</v>
      </c>
      <c r="Y68" s="183">
        <v>1041</v>
      </c>
      <c r="Z68" s="183">
        <v>1424</v>
      </c>
      <c r="AA68" s="184">
        <v>1512</v>
      </c>
      <c r="AB68" s="184">
        <v>1134</v>
      </c>
      <c r="AC68" s="186">
        <v>918</v>
      </c>
      <c r="AD68" s="186">
        <v>651</v>
      </c>
      <c r="AE68" s="186">
        <v>579</v>
      </c>
      <c r="AF68" s="186">
        <v>458</v>
      </c>
      <c r="AG68" s="186">
        <v>441</v>
      </c>
      <c r="AH68" s="186">
        <v>334</v>
      </c>
      <c r="AI68" s="186">
        <v>378</v>
      </c>
      <c r="AJ68" s="186">
        <v>774</v>
      </c>
      <c r="AK68" s="184">
        <v>1323</v>
      </c>
      <c r="AL68" s="184">
        <v>1766</v>
      </c>
      <c r="AM68" s="184">
        <v>1910</v>
      </c>
      <c r="AN68" s="184">
        <v>1398</v>
      </c>
      <c r="AO68" s="186">
        <v>898</v>
      </c>
      <c r="AP68" s="186">
        <v>968</v>
      </c>
      <c r="AQ68" s="186">
        <v>750</v>
      </c>
      <c r="AR68" s="186">
        <v>737</v>
      </c>
      <c r="AS68" s="186">
        <v>630</v>
      </c>
      <c r="AT68" s="186">
        <v>375</v>
      </c>
      <c r="AU68" s="186">
        <v>396</v>
      </c>
      <c r="AV68" s="186">
        <v>931</v>
      </c>
    </row>
    <row customHeight="true" ht="13" r="69">
      <c r="A69" s="185">
        <v>68</v>
      </c>
      <c r="B69" s="181" t="s">
        <v>323</v>
      </c>
      <c r="C69" s="183">
        <v>413</v>
      </c>
      <c r="D69" s="183">
        <v>459</v>
      </c>
      <c r="E69" s="183">
        <v>417</v>
      </c>
      <c r="F69" s="183">
        <v>208</v>
      </c>
      <c r="G69" s="183">
        <v>229</v>
      </c>
      <c r="H69" s="183">
        <v>208</v>
      </c>
      <c r="I69" s="183">
        <v>196</v>
      </c>
      <c r="J69" s="183">
        <v>207</v>
      </c>
      <c r="K69" s="183">
        <v>286</v>
      </c>
      <c r="L69" s="183">
        <v>381</v>
      </c>
      <c r="M69" s="183">
        <v>782</v>
      </c>
      <c r="N69" s="183">
        <v>1123</v>
      </c>
      <c r="O69" s="183">
        <v>923</v>
      </c>
      <c r="P69" s="183">
        <v>1250</v>
      </c>
      <c r="Q69" s="183">
        <v>702</v>
      </c>
      <c r="R69" s="183">
        <v>542</v>
      </c>
      <c r="S69" s="183">
        <v>515</v>
      </c>
      <c r="T69" s="183">
        <v>448</v>
      </c>
      <c r="U69" s="183">
        <v>296</v>
      </c>
      <c r="V69" s="183">
        <v>270</v>
      </c>
      <c r="W69" s="183">
        <v>392</v>
      </c>
      <c r="X69" s="183">
        <v>661</v>
      </c>
      <c r="Y69" s="183">
        <v>1025</v>
      </c>
      <c r="Z69" s="183">
        <v>1416</v>
      </c>
      <c r="AA69" s="184">
        <v>1457</v>
      </c>
      <c r="AB69" s="184">
        <v>1121</v>
      </c>
      <c r="AC69" s="186">
        <v>892</v>
      </c>
      <c r="AD69" s="186">
        <v>642</v>
      </c>
      <c r="AE69" s="186">
        <v>547</v>
      </c>
      <c r="AF69" s="186">
        <v>450</v>
      </c>
      <c r="AG69" s="186">
        <v>438</v>
      </c>
      <c r="AH69" s="186">
        <v>330</v>
      </c>
      <c r="AI69" s="186">
        <v>377</v>
      </c>
      <c r="AJ69" s="186">
        <v>768</v>
      </c>
      <c r="AK69" s="184">
        <v>1314</v>
      </c>
      <c r="AL69" s="184">
        <v>1766</v>
      </c>
      <c r="AM69" s="184">
        <v>1867</v>
      </c>
      <c r="AN69" s="184">
        <v>1385</v>
      </c>
      <c r="AO69" s="186">
        <v>895</v>
      </c>
      <c r="AP69" s="186">
        <v>957</v>
      </c>
      <c r="AQ69" s="186">
        <v>742</v>
      </c>
      <c r="AR69" s="186">
        <v>736</v>
      </c>
      <c r="AS69" s="186">
        <v>620</v>
      </c>
      <c r="AT69" s="186">
        <v>372</v>
      </c>
      <c r="AU69" s="186">
        <v>384</v>
      </c>
      <c r="AV69" s="186">
        <v>922</v>
      </c>
    </row>
    <row customHeight="true" ht="13" r="70">
      <c r="A70" s="181">
        <v>69</v>
      </c>
      <c r="B70" s="181" t="s">
        <v>323</v>
      </c>
      <c r="C70" s="183">
        <v>404</v>
      </c>
      <c r="D70" s="183">
        <v>434</v>
      </c>
      <c r="E70" s="183">
        <v>407</v>
      </c>
      <c r="F70" s="183">
        <v>204</v>
      </c>
      <c r="G70" s="183">
        <v>228</v>
      </c>
      <c r="H70" s="183">
        <v>204</v>
      </c>
      <c r="I70" s="183">
        <v>195</v>
      </c>
      <c r="J70" s="183">
        <v>206</v>
      </c>
      <c r="K70" s="183">
        <v>276</v>
      </c>
      <c r="L70" s="183">
        <v>371</v>
      </c>
      <c r="M70" s="183">
        <v>779</v>
      </c>
      <c r="N70" s="183">
        <v>1111</v>
      </c>
      <c r="O70" s="183">
        <v>910</v>
      </c>
      <c r="P70" s="183">
        <v>1214</v>
      </c>
      <c r="Q70" s="183">
        <v>699</v>
      </c>
      <c r="R70" s="183">
        <v>540</v>
      </c>
      <c r="S70" s="183">
        <v>514</v>
      </c>
      <c r="T70" s="183">
        <v>444</v>
      </c>
      <c r="U70" s="183">
        <v>278</v>
      </c>
      <c r="V70" s="183">
        <v>264</v>
      </c>
      <c r="W70" s="183">
        <v>386</v>
      </c>
      <c r="X70" s="183">
        <v>658</v>
      </c>
      <c r="Y70" s="183">
        <v>1000</v>
      </c>
      <c r="Z70" s="183">
        <v>1415</v>
      </c>
      <c r="AA70" s="184">
        <v>1446</v>
      </c>
      <c r="AB70" s="184">
        <v>1107</v>
      </c>
      <c r="AC70" s="186">
        <v>876</v>
      </c>
      <c r="AD70" s="186">
        <v>634</v>
      </c>
      <c r="AE70" s="186">
        <v>542</v>
      </c>
      <c r="AF70" s="186">
        <v>449</v>
      </c>
      <c r="AG70" s="186">
        <v>435</v>
      </c>
      <c r="AH70" s="186">
        <v>330</v>
      </c>
      <c r="AI70" s="186">
        <v>366</v>
      </c>
      <c r="AJ70" s="186">
        <v>755</v>
      </c>
      <c r="AK70" s="184">
        <v>1309</v>
      </c>
      <c r="AL70" s="184">
        <v>1766</v>
      </c>
      <c r="AM70" s="184">
        <v>1789</v>
      </c>
      <c r="AN70" s="184">
        <v>1381</v>
      </c>
      <c r="AO70" s="186">
        <v>882</v>
      </c>
      <c r="AP70" s="186">
        <v>947</v>
      </c>
      <c r="AQ70" s="186">
        <v>739</v>
      </c>
      <c r="AR70" s="186">
        <v>719</v>
      </c>
      <c r="AS70" s="186">
        <v>619</v>
      </c>
      <c r="AT70" s="186">
        <v>364</v>
      </c>
      <c r="AU70" s="186">
        <v>381</v>
      </c>
      <c r="AV70" s="186">
        <v>913</v>
      </c>
    </row>
    <row customHeight="true" ht="13" r="71">
      <c r="A71" s="185">
        <v>70</v>
      </c>
      <c r="B71" s="181" t="s">
        <v>323</v>
      </c>
      <c r="C71" s="183">
        <v>394</v>
      </c>
      <c r="D71" s="183">
        <v>434</v>
      </c>
      <c r="E71" s="183">
        <v>396</v>
      </c>
      <c r="F71" s="183">
        <v>189</v>
      </c>
      <c r="G71" s="183">
        <v>225</v>
      </c>
      <c r="H71" s="183">
        <v>203</v>
      </c>
      <c r="I71" s="183">
        <v>195</v>
      </c>
      <c r="J71" s="183">
        <v>200</v>
      </c>
      <c r="K71" s="183">
        <v>274</v>
      </c>
      <c r="L71" s="183">
        <v>369</v>
      </c>
      <c r="M71" s="183">
        <v>777</v>
      </c>
      <c r="N71" s="183">
        <v>1076</v>
      </c>
      <c r="O71" s="183">
        <v>898</v>
      </c>
      <c r="P71" s="183">
        <v>1087</v>
      </c>
      <c r="Q71" s="183">
        <v>697</v>
      </c>
      <c r="R71" s="183">
        <v>536</v>
      </c>
      <c r="S71" s="183">
        <v>513</v>
      </c>
      <c r="T71" s="183">
        <v>442</v>
      </c>
      <c r="U71" s="183">
        <v>277</v>
      </c>
      <c r="V71" s="183">
        <v>244</v>
      </c>
      <c r="W71" s="183">
        <v>386</v>
      </c>
      <c r="X71" s="183">
        <v>655</v>
      </c>
      <c r="Y71" s="183">
        <v>989</v>
      </c>
      <c r="Z71" s="183">
        <v>1397</v>
      </c>
      <c r="AA71" s="184">
        <v>1390</v>
      </c>
      <c r="AB71" s="184">
        <v>1095</v>
      </c>
      <c r="AC71" s="186">
        <v>876</v>
      </c>
      <c r="AD71" s="186">
        <v>626</v>
      </c>
      <c r="AE71" s="186">
        <v>542</v>
      </c>
      <c r="AF71" s="186">
        <v>446</v>
      </c>
      <c r="AG71" s="186">
        <v>433</v>
      </c>
      <c r="AH71" s="186">
        <v>324</v>
      </c>
      <c r="AI71" s="186">
        <v>365</v>
      </c>
      <c r="AJ71" s="186">
        <v>755</v>
      </c>
      <c r="AK71" s="184">
        <v>1307</v>
      </c>
      <c r="AL71" s="184">
        <v>1766</v>
      </c>
      <c r="AM71" s="184">
        <v>1759</v>
      </c>
      <c r="AN71" s="184">
        <v>1356</v>
      </c>
      <c r="AO71" s="186">
        <v>878</v>
      </c>
      <c r="AP71" s="186">
        <v>894</v>
      </c>
      <c r="AQ71" s="186">
        <v>711</v>
      </c>
      <c r="AR71" s="186">
        <v>715</v>
      </c>
      <c r="AS71" s="186">
        <v>613</v>
      </c>
      <c r="AT71" s="186">
        <v>363</v>
      </c>
      <c r="AU71" s="186">
        <v>375</v>
      </c>
      <c r="AV71" s="186">
        <v>902</v>
      </c>
    </row>
    <row customHeight="true" ht="13" r="72">
      <c r="A72" s="181">
        <v>71</v>
      </c>
      <c r="B72" s="181" t="s">
        <v>323</v>
      </c>
      <c r="C72" s="183">
        <v>383</v>
      </c>
      <c r="D72" s="183">
        <v>433</v>
      </c>
      <c r="E72" s="183">
        <v>396</v>
      </c>
      <c r="F72" s="183">
        <v>181</v>
      </c>
      <c r="G72" s="183">
        <v>224</v>
      </c>
      <c r="H72" s="183">
        <v>200</v>
      </c>
      <c r="I72" s="183">
        <v>193</v>
      </c>
      <c r="J72" s="183">
        <v>198</v>
      </c>
      <c r="K72" s="183">
        <v>271</v>
      </c>
      <c r="L72" s="183">
        <v>368</v>
      </c>
      <c r="M72" s="183">
        <v>776</v>
      </c>
      <c r="N72" s="183">
        <v>1064</v>
      </c>
      <c r="O72" s="183">
        <v>892</v>
      </c>
      <c r="P72" s="183">
        <v>1085</v>
      </c>
      <c r="Q72" s="183">
        <v>696</v>
      </c>
      <c r="R72" s="183">
        <v>535</v>
      </c>
      <c r="S72" s="183">
        <v>511</v>
      </c>
      <c r="T72" s="183">
        <v>440</v>
      </c>
      <c r="U72" s="183">
        <v>271</v>
      </c>
      <c r="V72" s="183">
        <v>242</v>
      </c>
      <c r="W72" s="183">
        <v>386</v>
      </c>
      <c r="X72" s="183">
        <v>653</v>
      </c>
      <c r="Y72" s="183">
        <v>978</v>
      </c>
      <c r="Z72" s="183">
        <v>1302</v>
      </c>
      <c r="AA72" s="184">
        <v>1370</v>
      </c>
      <c r="AB72" s="184">
        <v>1080</v>
      </c>
      <c r="AC72" s="186">
        <v>872</v>
      </c>
      <c r="AD72" s="186">
        <v>626</v>
      </c>
      <c r="AE72" s="186">
        <v>531</v>
      </c>
      <c r="AF72" s="186">
        <v>446</v>
      </c>
      <c r="AG72" s="186">
        <v>431</v>
      </c>
      <c r="AH72" s="186">
        <v>319</v>
      </c>
      <c r="AI72" s="186">
        <v>363</v>
      </c>
      <c r="AJ72" s="186">
        <v>736</v>
      </c>
      <c r="AK72" s="184">
        <v>1283</v>
      </c>
      <c r="AL72" s="184">
        <v>1766</v>
      </c>
      <c r="AM72" s="184">
        <v>1708</v>
      </c>
      <c r="AN72" s="184">
        <v>1349</v>
      </c>
      <c r="AO72" s="186">
        <v>871</v>
      </c>
      <c r="AP72" s="186">
        <v>883</v>
      </c>
      <c r="AQ72" s="186">
        <v>711</v>
      </c>
      <c r="AR72" s="186">
        <v>702</v>
      </c>
      <c r="AS72" s="186">
        <v>604</v>
      </c>
      <c r="AT72" s="186">
        <v>361</v>
      </c>
      <c r="AU72" s="186">
        <v>368</v>
      </c>
      <c r="AV72" s="186">
        <v>883</v>
      </c>
    </row>
    <row customHeight="true" ht="13" r="73">
      <c r="A73" s="185">
        <v>72</v>
      </c>
      <c r="B73" s="181" t="s">
        <v>323</v>
      </c>
      <c r="C73" s="183">
        <v>380</v>
      </c>
      <c r="D73" s="183">
        <v>430</v>
      </c>
      <c r="E73" s="183">
        <v>395</v>
      </c>
      <c r="F73" s="183">
        <v>173</v>
      </c>
      <c r="G73" s="183">
        <v>221</v>
      </c>
      <c r="H73" s="183">
        <v>200</v>
      </c>
      <c r="I73" s="183">
        <v>191</v>
      </c>
      <c r="J73" s="183">
        <v>194</v>
      </c>
      <c r="K73" s="183">
        <v>269</v>
      </c>
      <c r="L73" s="183">
        <v>356</v>
      </c>
      <c r="M73" s="183">
        <v>768</v>
      </c>
      <c r="N73" s="183">
        <v>986</v>
      </c>
      <c r="O73" s="183">
        <v>890</v>
      </c>
      <c r="P73" s="183">
        <v>1064</v>
      </c>
      <c r="Q73" s="183">
        <v>694</v>
      </c>
      <c r="R73" s="183">
        <v>528</v>
      </c>
      <c r="S73" s="183">
        <v>503</v>
      </c>
      <c r="T73" s="183">
        <v>435</v>
      </c>
      <c r="U73" s="183">
        <v>270</v>
      </c>
      <c r="V73" s="183">
        <v>239</v>
      </c>
      <c r="W73" s="183">
        <v>377</v>
      </c>
      <c r="X73" s="183">
        <v>651</v>
      </c>
      <c r="Y73" s="183">
        <v>967</v>
      </c>
      <c r="Z73" s="183">
        <v>1284</v>
      </c>
      <c r="AA73" s="184">
        <v>1369</v>
      </c>
      <c r="AB73" s="184">
        <v>1076</v>
      </c>
      <c r="AC73" s="186">
        <v>866</v>
      </c>
      <c r="AD73" s="186">
        <v>623</v>
      </c>
      <c r="AE73" s="186">
        <v>527</v>
      </c>
      <c r="AF73" s="186">
        <v>440</v>
      </c>
      <c r="AG73" s="186">
        <v>430</v>
      </c>
      <c r="AH73" s="186">
        <v>313</v>
      </c>
      <c r="AI73" s="186">
        <v>361</v>
      </c>
      <c r="AJ73" s="186">
        <v>720</v>
      </c>
      <c r="AK73" s="184">
        <v>1266</v>
      </c>
      <c r="AL73" s="184">
        <v>1766</v>
      </c>
      <c r="AM73" s="184">
        <v>1702</v>
      </c>
      <c r="AN73" s="184">
        <v>1342</v>
      </c>
      <c r="AO73" s="186">
        <v>871</v>
      </c>
      <c r="AP73" s="186">
        <v>851</v>
      </c>
      <c r="AQ73" s="186">
        <v>702</v>
      </c>
      <c r="AR73" s="186">
        <v>690</v>
      </c>
      <c r="AS73" s="186">
        <v>581</v>
      </c>
      <c r="AT73" s="186">
        <v>360</v>
      </c>
      <c r="AU73" s="186">
        <v>367</v>
      </c>
      <c r="AV73" s="186">
        <v>873</v>
      </c>
    </row>
    <row customHeight="true" ht="13" r="74">
      <c r="A74" s="181">
        <v>73</v>
      </c>
      <c r="B74" s="181" t="s">
        <v>323</v>
      </c>
      <c r="C74" s="183">
        <v>368</v>
      </c>
      <c r="D74" s="183">
        <v>428</v>
      </c>
      <c r="E74" s="183">
        <v>381</v>
      </c>
      <c r="F74" s="183">
        <v>171</v>
      </c>
      <c r="G74" s="183">
        <v>220</v>
      </c>
      <c r="H74" s="183">
        <v>197</v>
      </c>
      <c r="I74" s="183">
        <v>189</v>
      </c>
      <c r="J74" s="183">
        <v>193</v>
      </c>
      <c r="K74" s="183">
        <v>268</v>
      </c>
      <c r="L74" s="183">
        <v>348</v>
      </c>
      <c r="M74" s="183">
        <v>766</v>
      </c>
      <c r="N74" s="183">
        <v>978</v>
      </c>
      <c r="O74" s="183">
        <v>882</v>
      </c>
      <c r="P74" s="183">
        <v>1030</v>
      </c>
      <c r="Q74" s="183">
        <v>668</v>
      </c>
      <c r="R74" s="183">
        <v>527</v>
      </c>
      <c r="S74" s="183">
        <v>503</v>
      </c>
      <c r="T74" s="183">
        <v>429</v>
      </c>
      <c r="U74" s="183">
        <v>263</v>
      </c>
      <c r="V74" s="183">
        <v>235</v>
      </c>
      <c r="W74" s="183">
        <v>371</v>
      </c>
      <c r="X74" s="183">
        <v>640</v>
      </c>
      <c r="Y74" s="183">
        <v>963</v>
      </c>
      <c r="Z74" s="183">
        <v>1273</v>
      </c>
      <c r="AA74" s="184">
        <v>1362</v>
      </c>
      <c r="AB74" s="184">
        <v>1044</v>
      </c>
      <c r="AC74" s="186">
        <v>854</v>
      </c>
      <c r="AD74" s="186">
        <v>623</v>
      </c>
      <c r="AE74" s="186">
        <v>522</v>
      </c>
      <c r="AF74" s="186">
        <v>430</v>
      </c>
      <c r="AG74" s="186">
        <v>428</v>
      </c>
      <c r="AH74" s="186">
        <v>312</v>
      </c>
      <c r="AI74" s="186">
        <v>361</v>
      </c>
      <c r="AJ74" s="186">
        <v>714</v>
      </c>
      <c r="AK74" s="184">
        <v>1256</v>
      </c>
      <c r="AL74" s="184">
        <v>1766</v>
      </c>
      <c r="AM74" s="184">
        <v>1637</v>
      </c>
      <c r="AN74" s="184">
        <v>1313</v>
      </c>
      <c r="AO74" s="186">
        <v>864</v>
      </c>
      <c r="AP74" s="186">
        <v>829</v>
      </c>
      <c r="AQ74" s="186">
        <v>694</v>
      </c>
      <c r="AR74" s="186">
        <v>690</v>
      </c>
      <c r="AS74" s="186">
        <v>571</v>
      </c>
      <c r="AT74" s="186">
        <v>353</v>
      </c>
      <c r="AU74" s="186">
        <v>367</v>
      </c>
      <c r="AV74" s="186">
        <v>872</v>
      </c>
    </row>
    <row customHeight="true" ht="13" r="75">
      <c r="A75" s="185">
        <v>74</v>
      </c>
      <c r="B75" s="181" t="s">
        <v>323</v>
      </c>
      <c r="C75" s="183">
        <v>365</v>
      </c>
      <c r="D75" s="183">
        <v>414</v>
      </c>
      <c r="E75" s="183">
        <v>378</v>
      </c>
      <c r="F75" s="183">
        <v>169</v>
      </c>
      <c r="G75" s="183">
        <v>214</v>
      </c>
      <c r="H75" s="183">
        <v>195</v>
      </c>
      <c r="I75" s="183">
        <v>185</v>
      </c>
      <c r="J75" s="183">
        <v>192</v>
      </c>
      <c r="K75" s="183">
        <v>266</v>
      </c>
      <c r="L75" s="183">
        <v>346</v>
      </c>
      <c r="M75" s="183">
        <v>763</v>
      </c>
      <c r="N75" s="183">
        <v>978</v>
      </c>
      <c r="O75" s="183">
        <v>880</v>
      </c>
      <c r="P75" s="183">
        <v>1004</v>
      </c>
      <c r="Q75" s="183">
        <v>662</v>
      </c>
      <c r="R75" s="183">
        <v>526</v>
      </c>
      <c r="S75" s="183">
        <v>492</v>
      </c>
      <c r="T75" s="183">
        <v>426</v>
      </c>
      <c r="U75" s="183">
        <v>260</v>
      </c>
      <c r="V75" s="183">
        <v>232</v>
      </c>
      <c r="W75" s="183">
        <v>367</v>
      </c>
      <c r="X75" s="183">
        <v>619</v>
      </c>
      <c r="Y75" s="183">
        <v>962</v>
      </c>
      <c r="Z75" s="183">
        <v>1269</v>
      </c>
      <c r="AA75" s="184">
        <v>1357</v>
      </c>
      <c r="AB75" s="184">
        <v>1043</v>
      </c>
      <c r="AC75" s="186">
        <v>849</v>
      </c>
      <c r="AD75" s="186">
        <v>609</v>
      </c>
      <c r="AE75" s="186">
        <v>522</v>
      </c>
      <c r="AF75" s="186">
        <v>426</v>
      </c>
      <c r="AG75" s="186">
        <v>424</v>
      </c>
      <c r="AH75" s="186">
        <v>301</v>
      </c>
      <c r="AI75" s="186">
        <v>359</v>
      </c>
      <c r="AJ75" s="186">
        <v>710</v>
      </c>
      <c r="AK75" s="184">
        <v>1235</v>
      </c>
      <c r="AL75" s="184">
        <v>1766</v>
      </c>
      <c r="AM75" s="184">
        <v>1624</v>
      </c>
      <c r="AN75" s="184">
        <v>1311</v>
      </c>
      <c r="AO75" s="186">
        <v>848</v>
      </c>
      <c r="AP75" s="186">
        <v>829</v>
      </c>
      <c r="AQ75" s="186">
        <v>686</v>
      </c>
      <c r="AR75" s="186">
        <v>672</v>
      </c>
      <c r="AS75" s="186">
        <v>563</v>
      </c>
      <c r="AT75" s="186">
        <v>353</v>
      </c>
      <c r="AU75" s="186">
        <v>365</v>
      </c>
      <c r="AV75" s="186">
        <v>871</v>
      </c>
    </row>
    <row customHeight="true" ht="13" r="76">
      <c r="A76" s="181">
        <v>75</v>
      </c>
      <c r="B76" s="181" t="s">
        <v>323</v>
      </c>
      <c r="C76" s="183">
        <v>352</v>
      </c>
      <c r="D76" s="183">
        <v>406</v>
      </c>
      <c r="E76" s="183">
        <v>372</v>
      </c>
      <c r="F76" s="183">
        <v>154</v>
      </c>
      <c r="G76" s="183">
        <v>211</v>
      </c>
      <c r="H76" s="183">
        <v>190</v>
      </c>
      <c r="I76" s="183">
        <v>185</v>
      </c>
      <c r="J76" s="183">
        <v>190</v>
      </c>
      <c r="K76" s="183">
        <v>260</v>
      </c>
      <c r="L76" s="183">
        <v>344</v>
      </c>
      <c r="M76" s="183">
        <v>711</v>
      </c>
      <c r="N76" s="183">
        <v>973</v>
      </c>
      <c r="O76" s="183">
        <v>850</v>
      </c>
      <c r="P76" s="183">
        <v>996</v>
      </c>
      <c r="Q76" s="183">
        <v>646</v>
      </c>
      <c r="R76" s="183">
        <v>526</v>
      </c>
      <c r="S76" s="183">
        <v>490</v>
      </c>
      <c r="T76" s="183">
        <v>425</v>
      </c>
      <c r="U76" s="183">
        <v>259</v>
      </c>
      <c r="V76" s="183">
        <v>231</v>
      </c>
      <c r="W76" s="183">
        <v>362</v>
      </c>
      <c r="X76" s="183">
        <v>612</v>
      </c>
      <c r="Y76" s="183">
        <v>934</v>
      </c>
      <c r="Z76" s="183">
        <v>1245</v>
      </c>
      <c r="AA76" s="184">
        <v>1356</v>
      </c>
      <c r="AB76" s="184">
        <v>1042</v>
      </c>
      <c r="AC76" s="186">
        <v>846</v>
      </c>
      <c r="AD76" s="186">
        <v>605</v>
      </c>
      <c r="AE76" s="186">
        <v>518</v>
      </c>
      <c r="AF76" s="186">
        <v>418</v>
      </c>
      <c r="AG76" s="186">
        <v>423</v>
      </c>
      <c r="AH76" s="186">
        <v>297</v>
      </c>
      <c r="AI76" s="186">
        <v>358</v>
      </c>
      <c r="AJ76" s="186">
        <v>705</v>
      </c>
      <c r="AK76" s="184">
        <v>1192</v>
      </c>
      <c r="AL76" s="184">
        <v>1766</v>
      </c>
      <c r="AM76" s="184">
        <v>1603</v>
      </c>
      <c r="AN76" s="184">
        <v>1283</v>
      </c>
      <c r="AO76" s="186">
        <v>847</v>
      </c>
      <c r="AP76" s="186">
        <v>802</v>
      </c>
      <c r="AQ76" s="186">
        <v>679</v>
      </c>
      <c r="AR76" s="186">
        <v>671</v>
      </c>
      <c r="AS76" s="186">
        <v>559</v>
      </c>
      <c r="AT76" s="186">
        <v>350</v>
      </c>
      <c r="AU76" s="186">
        <v>359</v>
      </c>
      <c r="AV76" s="186">
        <v>869</v>
      </c>
    </row>
    <row customHeight="true" ht="13" r="77">
      <c r="A77" s="185">
        <v>76</v>
      </c>
      <c r="B77" s="181" t="s">
        <v>323</v>
      </c>
      <c r="C77" s="183">
        <v>348</v>
      </c>
      <c r="D77" s="183">
        <v>406</v>
      </c>
      <c r="E77" s="183">
        <v>346</v>
      </c>
      <c r="F77" s="183">
        <v>151</v>
      </c>
      <c r="G77" s="183">
        <v>210</v>
      </c>
      <c r="H77" s="183">
        <v>189</v>
      </c>
      <c r="I77" s="183">
        <v>179</v>
      </c>
      <c r="J77" s="183">
        <v>189</v>
      </c>
      <c r="K77" s="183">
        <v>259</v>
      </c>
      <c r="L77" s="183">
        <v>343</v>
      </c>
      <c r="M77" s="183">
        <v>696</v>
      </c>
      <c r="N77" s="183">
        <v>971</v>
      </c>
      <c r="O77" s="183">
        <v>841</v>
      </c>
      <c r="P77" s="183">
        <v>984</v>
      </c>
      <c r="Q77" s="183">
        <v>637</v>
      </c>
      <c r="R77" s="183">
        <v>526</v>
      </c>
      <c r="S77" s="183">
        <v>490</v>
      </c>
      <c r="T77" s="183">
        <v>414</v>
      </c>
      <c r="U77" s="183">
        <v>250</v>
      </c>
      <c r="V77" s="183">
        <v>230</v>
      </c>
      <c r="W77" s="183">
        <v>352</v>
      </c>
      <c r="X77" s="183">
        <v>609</v>
      </c>
      <c r="Y77" s="183">
        <v>928</v>
      </c>
      <c r="Z77" s="183">
        <v>1244</v>
      </c>
      <c r="AA77" s="184">
        <v>1320</v>
      </c>
      <c r="AB77" s="184">
        <v>1039</v>
      </c>
      <c r="AC77" s="186">
        <v>843</v>
      </c>
      <c r="AD77" s="186">
        <v>600</v>
      </c>
      <c r="AE77" s="186">
        <v>514</v>
      </c>
      <c r="AF77" s="186">
        <v>411</v>
      </c>
      <c r="AG77" s="186">
        <v>422</v>
      </c>
      <c r="AH77" s="186">
        <v>296</v>
      </c>
      <c r="AI77" s="186">
        <v>347</v>
      </c>
      <c r="AJ77" s="186">
        <v>701</v>
      </c>
      <c r="AK77" s="184">
        <v>1167</v>
      </c>
      <c r="AL77" s="184">
        <v>1766</v>
      </c>
      <c r="AM77" s="184">
        <v>1576</v>
      </c>
      <c r="AN77" s="184">
        <v>1250</v>
      </c>
      <c r="AO77" s="186">
        <v>839</v>
      </c>
      <c r="AP77" s="186">
        <v>779</v>
      </c>
      <c r="AQ77" s="186">
        <v>672</v>
      </c>
      <c r="AR77" s="186">
        <v>670</v>
      </c>
      <c r="AS77" s="186">
        <v>554</v>
      </c>
      <c r="AT77" s="186">
        <v>350</v>
      </c>
      <c r="AU77" s="186">
        <v>353</v>
      </c>
      <c r="AV77" s="186">
        <v>850</v>
      </c>
    </row>
    <row customHeight="true" ht="13" r="78">
      <c r="A78" s="181">
        <v>77</v>
      </c>
      <c r="B78" s="181" t="s">
        <v>323</v>
      </c>
      <c r="C78" s="183">
        <v>340</v>
      </c>
      <c r="D78" s="183">
        <v>400</v>
      </c>
      <c r="E78" s="183">
        <v>341</v>
      </c>
      <c r="F78" s="183">
        <v>150</v>
      </c>
      <c r="G78" s="183">
        <v>206</v>
      </c>
      <c r="H78" s="183">
        <v>187</v>
      </c>
      <c r="I78" s="183">
        <v>177</v>
      </c>
      <c r="J78" s="183">
        <v>189</v>
      </c>
      <c r="K78" s="183">
        <v>257</v>
      </c>
      <c r="L78" s="183">
        <v>342</v>
      </c>
      <c r="M78" s="183">
        <v>693</v>
      </c>
      <c r="N78" s="183">
        <v>966</v>
      </c>
      <c r="O78" s="183">
        <v>838</v>
      </c>
      <c r="P78" s="183">
        <v>969</v>
      </c>
      <c r="Q78" s="183">
        <v>630</v>
      </c>
      <c r="R78" s="183">
        <v>526</v>
      </c>
      <c r="S78" s="183">
        <v>490</v>
      </c>
      <c r="T78" s="183">
        <v>396</v>
      </c>
      <c r="U78" s="183">
        <v>244</v>
      </c>
      <c r="V78" s="183">
        <v>230</v>
      </c>
      <c r="W78" s="183">
        <v>348</v>
      </c>
      <c r="X78" s="183">
        <v>596</v>
      </c>
      <c r="Y78" s="183">
        <v>927</v>
      </c>
      <c r="Z78" s="183">
        <v>1239</v>
      </c>
      <c r="AA78" s="184">
        <v>1268</v>
      </c>
      <c r="AB78" s="184">
        <v>1016</v>
      </c>
      <c r="AC78" s="186">
        <v>828</v>
      </c>
      <c r="AD78" s="186">
        <v>594</v>
      </c>
      <c r="AE78" s="186">
        <v>512</v>
      </c>
      <c r="AF78" s="186">
        <v>403</v>
      </c>
      <c r="AG78" s="186">
        <v>418</v>
      </c>
      <c r="AH78" s="186">
        <v>293</v>
      </c>
      <c r="AI78" s="186">
        <v>337</v>
      </c>
      <c r="AJ78" s="186">
        <v>685</v>
      </c>
      <c r="AK78" s="184">
        <v>1161</v>
      </c>
      <c r="AL78" s="184">
        <v>1766</v>
      </c>
      <c r="AM78" s="184">
        <v>1560</v>
      </c>
      <c r="AN78" s="184">
        <v>1249</v>
      </c>
      <c r="AO78" s="186">
        <v>838</v>
      </c>
      <c r="AP78" s="186">
        <v>771</v>
      </c>
      <c r="AQ78" s="186">
        <v>664</v>
      </c>
      <c r="AR78" s="186">
        <v>664</v>
      </c>
      <c r="AS78" s="186">
        <v>543</v>
      </c>
      <c r="AT78" s="186">
        <v>350</v>
      </c>
      <c r="AU78" s="186">
        <v>349</v>
      </c>
      <c r="AV78" s="186">
        <v>837</v>
      </c>
    </row>
    <row customHeight="true" ht="13" r="79">
      <c r="A79" s="185">
        <v>78</v>
      </c>
      <c r="B79" s="181" t="s">
        <v>323</v>
      </c>
      <c r="C79" s="183">
        <v>335</v>
      </c>
      <c r="D79" s="183">
        <v>395</v>
      </c>
      <c r="E79" s="183">
        <v>331</v>
      </c>
      <c r="F79" s="183">
        <v>150</v>
      </c>
      <c r="G79" s="183">
        <v>200</v>
      </c>
      <c r="H79" s="183">
        <v>187</v>
      </c>
      <c r="I79" s="183">
        <v>176</v>
      </c>
      <c r="J79" s="183">
        <v>188</v>
      </c>
      <c r="K79" s="183">
        <v>254</v>
      </c>
      <c r="L79" s="183">
        <v>332</v>
      </c>
      <c r="M79" s="183">
        <v>685</v>
      </c>
      <c r="N79" s="183">
        <v>954</v>
      </c>
      <c r="O79" s="183">
        <v>828</v>
      </c>
      <c r="P79" s="183">
        <v>965</v>
      </c>
      <c r="Q79" s="183">
        <v>605</v>
      </c>
      <c r="R79" s="183">
        <v>526</v>
      </c>
      <c r="S79" s="183">
        <v>484</v>
      </c>
      <c r="T79" s="183">
        <v>381</v>
      </c>
      <c r="U79" s="183">
        <v>239</v>
      </c>
      <c r="V79" s="183">
        <v>229</v>
      </c>
      <c r="W79" s="183">
        <v>339</v>
      </c>
      <c r="X79" s="183">
        <v>594</v>
      </c>
      <c r="Y79" s="183">
        <v>912</v>
      </c>
      <c r="Z79" s="183">
        <v>1228</v>
      </c>
      <c r="AA79" s="184">
        <v>1226</v>
      </c>
      <c r="AB79" s="186">
        <v>992</v>
      </c>
      <c r="AC79" s="186">
        <v>827</v>
      </c>
      <c r="AD79" s="186">
        <v>594</v>
      </c>
      <c r="AE79" s="186">
        <v>511</v>
      </c>
      <c r="AF79" s="186">
        <v>400</v>
      </c>
      <c r="AG79" s="186">
        <v>400</v>
      </c>
      <c r="AH79" s="186">
        <v>291</v>
      </c>
      <c r="AI79" s="186">
        <v>337</v>
      </c>
      <c r="AJ79" s="186">
        <v>682</v>
      </c>
      <c r="AK79" s="184">
        <v>1113</v>
      </c>
      <c r="AL79" s="184">
        <v>1766</v>
      </c>
      <c r="AM79" s="184">
        <v>1524</v>
      </c>
      <c r="AN79" s="184">
        <v>1243</v>
      </c>
      <c r="AO79" s="186">
        <v>836</v>
      </c>
      <c r="AP79" s="186">
        <v>757</v>
      </c>
      <c r="AQ79" s="186">
        <v>661</v>
      </c>
      <c r="AR79" s="186">
        <v>662</v>
      </c>
      <c r="AS79" s="186">
        <v>539</v>
      </c>
      <c r="AT79" s="186">
        <v>347</v>
      </c>
      <c r="AU79" s="186">
        <v>340</v>
      </c>
      <c r="AV79" s="186">
        <v>836</v>
      </c>
    </row>
    <row customHeight="true" ht="13" r="80">
      <c r="A80" s="181">
        <v>79</v>
      </c>
      <c r="B80" s="181" t="s">
        <v>323</v>
      </c>
      <c r="C80" s="183">
        <v>327</v>
      </c>
      <c r="D80" s="183">
        <v>393</v>
      </c>
      <c r="E80" s="183">
        <v>325</v>
      </c>
      <c r="F80" s="183">
        <v>149</v>
      </c>
      <c r="G80" s="183">
        <v>199</v>
      </c>
      <c r="H80" s="183">
        <v>185</v>
      </c>
      <c r="I80" s="183">
        <v>169</v>
      </c>
      <c r="J80" s="183">
        <v>188</v>
      </c>
      <c r="K80" s="183">
        <v>252</v>
      </c>
      <c r="L80" s="183">
        <v>330</v>
      </c>
      <c r="M80" s="183">
        <v>675</v>
      </c>
      <c r="N80" s="183">
        <v>946</v>
      </c>
      <c r="O80" s="183">
        <v>805</v>
      </c>
      <c r="P80" s="183">
        <v>961</v>
      </c>
      <c r="Q80" s="183">
        <v>604</v>
      </c>
      <c r="R80" s="183">
        <v>526</v>
      </c>
      <c r="S80" s="183">
        <v>480</v>
      </c>
      <c r="T80" s="183">
        <v>376</v>
      </c>
      <c r="U80" s="183">
        <v>237</v>
      </c>
      <c r="V80" s="183">
        <v>227</v>
      </c>
      <c r="W80" s="183">
        <v>338</v>
      </c>
      <c r="X80" s="183">
        <v>592</v>
      </c>
      <c r="Y80" s="183">
        <v>853</v>
      </c>
      <c r="Z80" s="183">
        <v>1161</v>
      </c>
      <c r="AA80" s="184">
        <v>1195</v>
      </c>
      <c r="AB80" s="186">
        <v>981</v>
      </c>
      <c r="AC80" s="186">
        <v>826</v>
      </c>
      <c r="AD80" s="186">
        <v>592</v>
      </c>
      <c r="AE80" s="186">
        <v>510</v>
      </c>
      <c r="AF80" s="186">
        <v>398</v>
      </c>
      <c r="AG80" s="186">
        <v>397</v>
      </c>
      <c r="AH80" s="186">
        <v>290</v>
      </c>
      <c r="AI80" s="186">
        <v>333</v>
      </c>
      <c r="AJ80" s="186">
        <v>680</v>
      </c>
      <c r="AK80" s="184">
        <v>1095</v>
      </c>
      <c r="AL80" s="184">
        <v>1766</v>
      </c>
      <c r="AM80" s="184">
        <v>1511</v>
      </c>
      <c r="AN80" s="184">
        <v>1242</v>
      </c>
      <c r="AO80" s="186">
        <v>834</v>
      </c>
      <c r="AP80" s="186">
        <v>742</v>
      </c>
      <c r="AQ80" s="186">
        <v>652</v>
      </c>
      <c r="AR80" s="186">
        <v>654</v>
      </c>
      <c r="AS80" s="186">
        <v>538</v>
      </c>
      <c r="AT80" s="186">
        <v>346</v>
      </c>
      <c r="AU80" s="186">
        <v>338</v>
      </c>
      <c r="AV80" s="186">
        <v>824</v>
      </c>
    </row>
    <row customHeight="true" ht="13" r="81">
      <c r="A81" s="185">
        <v>80</v>
      </c>
      <c r="B81" s="181" t="s">
        <v>323</v>
      </c>
      <c r="C81" s="183">
        <v>326</v>
      </c>
      <c r="D81" s="183">
        <v>375</v>
      </c>
      <c r="E81" s="183">
        <v>325</v>
      </c>
      <c r="F81" s="183">
        <v>146</v>
      </c>
      <c r="G81" s="183">
        <v>198</v>
      </c>
      <c r="H81" s="183">
        <v>183</v>
      </c>
      <c r="I81" s="183">
        <v>165</v>
      </c>
      <c r="J81" s="183">
        <v>188</v>
      </c>
      <c r="K81" s="183">
        <v>250</v>
      </c>
      <c r="L81" s="183">
        <v>328</v>
      </c>
      <c r="M81" s="183">
        <v>665</v>
      </c>
      <c r="N81" s="183">
        <v>946</v>
      </c>
      <c r="O81" s="183">
        <v>794</v>
      </c>
      <c r="P81" s="183">
        <v>927</v>
      </c>
      <c r="Q81" s="183">
        <v>586</v>
      </c>
      <c r="R81" s="183">
        <v>520</v>
      </c>
      <c r="S81" s="183">
        <v>478</v>
      </c>
      <c r="T81" s="183">
        <v>361</v>
      </c>
      <c r="U81" s="183">
        <v>236</v>
      </c>
      <c r="V81" s="183">
        <v>226</v>
      </c>
      <c r="W81" s="183">
        <v>337</v>
      </c>
      <c r="X81" s="183">
        <v>588</v>
      </c>
      <c r="Y81" s="183">
        <v>851</v>
      </c>
      <c r="Z81" s="183">
        <v>1151</v>
      </c>
      <c r="AA81" s="184">
        <v>1188</v>
      </c>
      <c r="AB81" s="186">
        <v>976</v>
      </c>
      <c r="AC81" s="186">
        <v>814</v>
      </c>
      <c r="AD81" s="186">
        <v>587</v>
      </c>
      <c r="AE81" s="186">
        <v>505</v>
      </c>
      <c r="AF81" s="186">
        <v>397</v>
      </c>
      <c r="AG81" s="186">
        <v>385</v>
      </c>
      <c r="AH81" s="186">
        <v>288</v>
      </c>
      <c r="AI81" s="186">
        <v>330</v>
      </c>
      <c r="AJ81" s="186">
        <v>672</v>
      </c>
      <c r="AK81" s="184">
        <v>1086</v>
      </c>
      <c r="AL81" s="184">
        <v>1766</v>
      </c>
      <c r="AM81" s="184">
        <v>1507</v>
      </c>
      <c r="AN81" s="184">
        <v>1201</v>
      </c>
      <c r="AO81" s="186">
        <v>829</v>
      </c>
      <c r="AP81" s="186">
        <v>739</v>
      </c>
      <c r="AQ81" s="186">
        <v>624</v>
      </c>
      <c r="AR81" s="186">
        <v>638</v>
      </c>
      <c r="AS81" s="186">
        <v>534</v>
      </c>
      <c r="AT81" s="186">
        <v>344</v>
      </c>
      <c r="AU81" s="186">
        <v>333</v>
      </c>
      <c r="AV81" s="186">
        <v>822</v>
      </c>
    </row>
  </sheetData>
  <pageMargins bottom="1" footer="0.5" header="0.5" left="0.75" right="0.75" top="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6"/>
  <cols>
    <col collapsed="false" customWidth="true" hidden="false" max="3" min="3" style="0" width="7"/>
    <col collapsed="false" customWidth="true" hidden="false" max="7" min="7" style="0" width="7"/>
    <col collapsed="false" customWidth="true" hidden="false" max="11" min="11" style="0" width="7"/>
    <col collapsed="false" customWidth="true" hidden="false" max="15" min="15" style="0" width="7"/>
    <col collapsed="false" customWidth="true" hidden="false" max="19" min="19" style="0" width="7"/>
    <col collapsed="false" customWidth="true" hidden="false" max="4" min="4" style="0" width="7"/>
    <col collapsed="false" customWidth="true" hidden="false" max="8" min="8" style="0" width="7"/>
    <col collapsed="false" customWidth="true" hidden="false" max="12" min="12" style="0" width="7"/>
    <col collapsed="false" customWidth="true" hidden="false" max="16" min="16" style="0" width="11"/>
    <col collapsed="false" customWidth="true" hidden="false" max="20" min="20" style="0" width="7"/>
    <col collapsed="false" customWidth="true" hidden="false" max="1" min="1" style="0" width="7"/>
    <col collapsed="false" customWidth="true" hidden="false" max="5" min="5" style="0" width="7"/>
    <col collapsed="false" customWidth="true" hidden="false" max="9" min="9" style="0" width="7"/>
    <col collapsed="false" customWidth="true" hidden="false" max="13" min="13" style="0" width="7"/>
    <col collapsed="false" customWidth="true" hidden="false" max="17" min="17" style="0" width="12"/>
    <col collapsed="false" customWidth="true" hidden="false" max="2" min="2" style="0" width="7"/>
    <col collapsed="false" customWidth="true" hidden="false" max="6" min="6" style="0" width="7"/>
    <col collapsed="false" customWidth="true" hidden="false" max="10" min="10" style="0" width="7"/>
    <col collapsed="false" customWidth="true" hidden="false" max="14" min="14" style="0" width="7"/>
    <col collapsed="false" customWidth="true" hidden="false" max="18" min="18" style="0" width="7"/>
  </cols>
  <sheetData>
    <row customHeight="true" ht="13" r="1">
      <c r="A1" s="187" t="s">
        <v>324</v>
      </c>
      <c r="B1" s="187" t="s">
        <v>325</v>
      </c>
      <c r="C1" s="187" t="s">
        <v>326</v>
      </c>
      <c r="D1" s="187" t="s">
        <v>327</v>
      </c>
      <c r="E1" s="187" t="s">
        <v>328</v>
      </c>
      <c r="F1" s="187" t="s">
        <v>329</v>
      </c>
      <c r="G1" s="187" t="s">
        <v>330</v>
      </c>
      <c r="H1" s="187" t="s">
        <v>331</v>
      </c>
      <c r="I1" s="187" t="s">
        <v>332</v>
      </c>
      <c r="J1" s="187" t="s">
        <v>333</v>
      </c>
      <c r="K1" s="187" t="s">
        <v>334</v>
      </c>
      <c r="L1" s="187" t="s">
        <v>335</v>
      </c>
      <c r="M1" s="187" t="s">
        <v>336</v>
      </c>
      <c r="N1" s="187" t="s">
        <v>337</v>
      </c>
      <c r="O1" s="187" t="s">
        <v>338</v>
      </c>
      <c r="P1" s="187" t="s">
        <v>339</v>
      </c>
      <c r="Q1" s="187" t="s">
        <v>340</v>
      </c>
      <c r="R1" s="187"/>
      <c r="S1" s="187"/>
      <c r="T1" s="187"/>
    </row>
    <row customHeight="true" ht="13" r="2">
      <c r="A2" s="187" t="s">
        <v>341</v>
      </c>
      <c r="B2" s="187">
        <v>2023</v>
      </c>
      <c r="C2" s="187"/>
      <c r="D2" s="187"/>
      <c r="E2" s="187"/>
      <c r="F2" s="187"/>
      <c r="G2" s="187"/>
      <c r="H2" s="187"/>
      <c r="I2" s="187">
        <v>2256</v>
      </c>
      <c r="J2" s="187">
        <v>3863</v>
      </c>
      <c r="K2" s="187">
        <v>2413</v>
      </c>
      <c r="L2" s="187">
        <v>1076</v>
      </c>
      <c r="M2" s="187">
        <v>578</v>
      </c>
      <c r="N2" s="187">
        <v>633</v>
      </c>
      <c r="O2" s="187">
        <v>10819</v>
      </c>
      <c r="P2" s="187"/>
      <c r="Q2" s="187"/>
      <c r="R2" s="187"/>
      <c r="S2" s="187"/>
      <c r="T2" s="187"/>
    </row>
    <row customHeight="true" ht="13" r="3">
      <c r="A3" s="187" t="s">
        <v>341</v>
      </c>
      <c r="B3" s="187">
        <v>2024</v>
      </c>
      <c r="C3" s="187">
        <v>383</v>
      </c>
      <c r="D3" s="187">
        <v>751</v>
      </c>
      <c r="E3" s="187">
        <v>1766</v>
      </c>
      <c r="F3" s="187">
        <v>7129</v>
      </c>
      <c r="G3" s="187">
        <v>13704</v>
      </c>
      <c r="H3" s="187">
        <v>17270</v>
      </c>
      <c r="I3" s="187">
        <v>15638</v>
      </c>
      <c r="J3" s="187">
        <v>10297</v>
      </c>
      <c r="K3" s="187">
        <v>6374</v>
      </c>
      <c r="L3" s="187">
        <v>3959</v>
      </c>
      <c r="M3" s="187">
        <v>2999</v>
      </c>
      <c r="N3" s="187">
        <v>1727</v>
      </c>
      <c r="O3" s="187">
        <v>81997</v>
      </c>
      <c r="P3" s="188">
        <f>(SUM(I3:N3)-SUM(I2:N2))/SUM(I2:N2)</f>
      </c>
      <c r="Q3" s="187" t="s">
        <v>342</v>
      </c>
      <c r="R3" s="187"/>
      <c r="S3" s="187"/>
      <c r="T3" s="187"/>
    </row>
    <row customHeight="true" ht="13" r="4">
      <c r="A4" s="187" t="s">
        <v>341</v>
      </c>
      <c r="B4" s="187">
        <v>2025</v>
      </c>
      <c r="C4" s="187">
        <v>1930</v>
      </c>
      <c r="D4" s="187">
        <v>3132</v>
      </c>
      <c r="E4" s="187">
        <v>7295</v>
      </c>
      <c r="F4" s="187">
        <v>18925</v>
      </c>
      <c r="G4" s="187">
        <v>31783</v>
      </c>
      <c r="H4" s="187">
        <v>29302</v>
      </c>
      <c r="I4" s="187">
        <v>30274</v>
      </c>
      <c r="J4" s="187">
        <v>20732</v>
      </c>
      <c r="K4" s="187">
        <v>20844</v>
      </c>
      <c r="L4" s="187">
        <v>8656</v>
      </c>
      <c r="M4" s="187">
        <v>5725</v>
      </c>
      <c r="N4" s="187">
        <v>3917</v>
      </c>
      <c r="O4" s="187">
        <v>182515</v>
      </c>
      <c r="P4" s="188">
        <f>(SUM(C4:N4)-SUM(C3:N3))/SUM(C3:N3)</f>
      </c>
      <c r="Q4" s="187" t="s">
        <v>343</v>
      </c>
      <c r="R4" s="187"/>
      <c r="S4" s="187"/>
      <c r="T4" s="187"/>
    </row>
    <row customHeight="true" ht="13" r="5">
      <c r="A5" s="187" t="s">
        <v>341</v>
      </c>
      <c r="B5" s="187">
        <v>2026</v>
      </c>
      <c r="C5" s="187">
        <v>3271</v>
      </c>
      <c r="D5" s="187">
        <v>3985</v>
      </c>
      <c r="E5" s="187">
        <v>8218</v>
      </c>
      <c r="F5" s="187">
        <v>18967</v>
      </c>
      <c r="G5" s="187">
        <v>50159</v>
      </c>
      <c r="H5" s="187">
        <v>44006</v>
      </c>
      <c r="I5" s="187"/>
      <c r="J5" s="187"/>
      <c r="K5" s="187"/>
      <c r="L5" s="187"/>
      <c r="M5" s="187"/>
      <c r="N5" s="187"/>
      <c r="O5" s="187">
        <v>128606</v>
      </c>
      <c r="P5" s="188">
        <f>(SUM(C5:H5)-SUM(C4:H4))/SUM(C4:H4)</f>
      </c>
      <c r="Q5" s="187" t="s">
        <v>344</v>
      </c>
      <c r="R5" s="187"/>
      <c r="S5" s="187"/>
      <c r="T5" s="187"/>
    </row>
    <row customHeight="true" ht="13" r="6">
      <c r="A6" s="187" t="s">
        <v>345</v>
      </c>
      <c r="B6" s="187">
        <v>2023</v>
      </c>
      <c r="C6" s="187"/>
      <c r="D6" s="187">
        <v>82706</v>
      </c>
      <c r="E6" s="187">
        <v>113444</v>
      </c>
      <c r="F6" s="187">
        <v>203753</v>
      </c>
      <c r="G6" s="187">
        <v>302414</v>
      </c>
      <c r="H6" s="187">
        <v>261330</v>
      </c>
      <c r="I6" s="187">
        <v>291119</v>
      </c>
      <c r="J6" s="187">
        <v>201675</v>
      </c>
      <c r="K6" s="187">
        <v>171649</v>
      </c>
      <c r="L6" s="187">
        <v>146304</v>
      </c>
      <c r="M6" s="187">
        <v>145787</v>
      </c>
      <c r="N6" s="187">
        <v>89479</v>
      </c>
      <c r="O6" s="187">
        <v>2009660</v>
      </c>
      <c r="P6" s="188"/>
      <c r="Q6" s="187"/>
      <c r="R6" s="187"/>
      <c r="S6" s="187"/>
      <c r="T6" s="187"/>
    </row>
    <row customHeight="true" ht="13" r="7">
      <c r="A7" s="187" t="s">
        <v>345</v>
      </c>
      <c r="B7" s="187">
        <v>2024</v>
      </c>
      <c r="C7" s="187">
        <v>87191</v>
      </c>
      <c r="D7" s="187">
        <v>127337</v>
      </c>
      <c r="E7" s="187">
        <v>216915</v>
      </c>
      <c r="F7" s="187">
        <v>269471</v>
      </c>
      <c r="G7" s="187">
        <v>383714</v>
      </c>
      <c r="H7" s="187">
        <v>390099</v>
      </c>
      <c r="I7" s="187">
        <v>319666</v>
      </c>
      <c r="J7" s="187">
        <v>239542</v>
      </c>
      <c r="K7" s="187">
        <v>203403</v>
      </c>
      <c r="L7" s="187">
        <v>182016</v>
      </c>
      <c r="M7" s="187">
        <v>170185</v>
      </c>
      <c r="N7" s="187">
        <v>110163</v>
      </c>
      <c r="O7" s="187">
        <v>2699702</v>
      </c>
      <c r="P7" s="188">
        <f>(SUM(I7:N7)-SUM(I6:N6))/SUM(I6:N6)</f>
      </c>
      <c r="Q7" s="187"/>
      <c r="R7" s="187"/>
      <c r="S7" s="187"/>
      <c r="T7" s="187"/>
    </row>
    <row customHeight="true" ht="13" r="8">
      <c r="A8" s="187" t="s">
        <v>345</v>
      </c>
      <c r="B8" s="187">
        <v>2025</v>
      </c>
      <c r="C8" s="187">
        <v>92714</v>
      </c>
      <c r="D8" s="187">
        <v>113827</v>
      </c>
      <c r="E8" s="187">
        <v>214067</v>
      </c>
      <c r="F8" s="187">
        <v>311848</v>
      </c>
      <c r="G8" s="187">
        <v>406741</v>
      </c>
      <c r="H8" s="187">
        <v>410998</v>
      </c>
      <c r="I8" s="187">
        <v>357430</v>
      </c>
      <c r="J8" s="187">
        <v>253940</v>
      </c>
      <c r="K8" s="187">
        <v>206664</v>
      </c>
      <c r="L8" s="187">
        <v>176233</v>
      </c>
      <c r="M8" s="187">
        <v>168409</v>
      </c>
      <c r="N8" s="187">
        <v>115033</v>
      </c>
      <c r="O8" s="187">
        <v>2827904</v>
      </c>
      <c r="P8" s="188">
        <f>(SUM(C8:N8)-SUM(C7:N7))/SUM(C7:N7)</f>
      </c>
      <c r="Q8" s="187"/>
      <c r="R8" s="187"/>
      <c r="S8" s="187"/>
      <c r="T8" s="187"/>
    </row>
    <row customHeight="true" ht="13" r="9">
      <c r="A9" s="187" t="s">
        <v>345</v>
      </c>
      <c r="B9" s="187">
        <v>2026</v>
      </c>
      <c r="C9" s="187">
        <v>87646</v>
      </c>
      <c r="D9" s="187">
        <v>102530</v>
      </c>
      <c r="E9" s="187">
        <v>244231</v>
      </c>
      <c r="F9" s="187">
        <v>324954</v>
      </c>
      <c r="G9" s="187">
        <v>379370</v>
      </c>
      <c r="H9" s="187">
        <v>449449</v>
      </c>
      <c r="I9" s="187"/>
      <c r="J9" s="187"/>
      <c r="K9" s="187"/>
      <c r="L9" s="187"/>
      <c r="M9" s="187"/>
      <c r="N9" s="187"/>
      <c r="O9" s="187">
        <v>1588180</v>
      </c>
      <c r="P9" s="188">
        <f>(SUM(C9:H9)-SUM(C8:H8))/SUM(C8:H8)</f>
      </c>
      <c r="Q9" s="187"/>
      <c r="R9" s="187"/>
      <c r="S9" s="187"/>
      <c r="T9" s="187"/>
    </row>
    <row customHeight="true" ht="13" r="10">
      <c r="A10" s="187" t="s">
        <v>338</v>
      </c>
      <c r="B10" s="187"/>
      <c r="C10" s="187">
        <v>273135</v>
      </c>
      <c r="D10" s="187">
        <v>434268</v>
      </c>
      <c r="E10" s="187">
        <v>805936</v>
      </c>
      <c r="F10" s="187">
        <v>1155047</v>
      </c>
      <c r="G10" s="187">
        <v>1567885</v>
      </c>
      <c r="H10" s="187">
        <v>1602454</v>
      </c>
      <c r="I10" s="187">
        <v>1016383</v>
      </c>
      <c r="J10" s="187">
        <v>730049</v>
      </c>
      <c r="K10" s="187">
        <v>611347</v>
      </c>
      <c r="L10" s="187">
        <v>518244</v>
      </c>
      <c r="M10" s="187">
        <v>493683</v>
      </c>
      <c r="N10" s="187">
        <v>320952</v>
      </c>
      <c r="O10" s="187">
        <v>9529383</v>
      </c>
      <c r="P10" s="187"/>
      <c r="Q10" s="187"/>
      <c r="R10" s="187"/>
      <c r="S10" s="187"/>
      <c r="T10" s="187"/>
    </row>
    <row r="11">
      <c r="A11" s="187"/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</row>
    <row r="12">
      <c r="A12" s="187"/>
      <c r="B12" s="187"/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</row>
    <row r="13">
      <c r="A13" s="187"/>
      <c r="B13" s="187"/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</row>
    <row r="14">
      <c r="A14" s="187"/>
      <c r="B14" s="187"/>
      <c r="C14" s="187"/>
      <c r="D14" s="187"/>
      <c r="E14" s="187"/>
      <c r="F14" s="187"/>
      <c r="G14" s="187"/>
      <c r="H14" s="187"/>
      <c r="I14" s="187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187"/>
    </row>
    <row r="15">
      <c r="A15" s="187"/>
      <c r="B15" s="187"/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</row>
    <row r="16">
      <c r="A16" s="187"/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</row>
    <row r="17">
      <c r="A17" s="187"/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</row>
    <row r="18">
      <c r="A18" s="187"/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</row>
    <row r="19">
      <c r="A19" s="187"/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</row>
    <row r="20">
      <c r="A20" s="187"/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</row>
    <row r="21">
      <c r="A21" s="187"/>
      <c r="B21" s="187"/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</row>
    <row r="22">
      <c r="A22" s="187"/>
      <c r="B22" s="187"/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</row>
    <row r="23">
      <c r="A23" s="187"/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</row>
    <row r="24">
      <c r="A24" s="187"/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</row>
    <row r="25">
      <c r="A25" s="187"/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7"/>
      <c r="R25" s="187"/>
      <c r="S25" s="187"/>
      <c r="T25" s="187"/>
    </row>
    <row r="26">
      <c r="A26" s="187"/>
      <c r="B26" s="187"/>
      <c r="C26" s="187"/>
      <c r="D26" s="187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87"/>
      <c r="R26" s="187"/>
      <c r="S26" s="187"/>
      <c r="T26" s="187"/>
    </row>
    <row r="27">
      <c r="A27" s="187"/>
      <c r="B27" s="187"/>
      <c r="C27" s="187"/>
      <c r="D27" s="187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87"/>
    </row>
    <row r="28">
      <c r="A28" s="187"/>
      <c r="B28" s="187"/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7"/>
      <c r="R28" s="187"/>
      <c r="S28" s="187"/>
      <c r="T28" s="187"/>
    </row>
    <row r="29">
      <c r="A29" s="187"/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</row>
    <row r="30">
      <c r="A30" s="187"/>
      <c r="B30" s="187"/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7"/>
      <c r="R30" s="187"/>
      <c r="S30" s="187"/>
      <c r="T30" s="187"/>
    </row>
    <row r="31">
      <c r="A31" s="187"/>
      <c r="B31" s="187"/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87"/>
    </row>
    <row r="32">
      <c r="A32" s="187"/>
      <c r="B32" s="187"/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</row>
    <row r="33">
      <c r="A33" s="187"/>
      <c r="B33" s="187"/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</row>
    <row r="34">
      <c r="A34" s="187"/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87"/>
    </row>
    <row r="35">
      <c r="A35" s="187"/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</row>
    <row r="36">
      <c r="A36" s="187"/>
      <c r="B36" s="187"/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187"/>
    </row>
    <row r="37">
      <c r="A37" s="187"/>
      <c r="B37" s="187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</row>
    <row r="38">
      <c r="A38" s="187"/>
      <c r="B38" s="187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</row>
    <row r="39">
      <c r="A39" s="187"/>
      <c r="B39" s="187"/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</row>
    <row r="40">
      <c r="A40" s="187"/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</row>
    <row r="41">
      <c r="A41" s="187"/>
      <c r="B41" s="187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</row>
    <row r="42">
      <c r="A42" s="187"/>
      <c r="B42" s="187"/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</row>
    <row r="43">
      <c r="A43" s="187"/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</row>
    <row r="44">
      <c r="A44" s="187"/>
      <c r="B44" s="187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</row>
    <row r="45">
      <c r="A45" s="187"/>
      <c r="B45" s="187"/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</row>
    <row r="46">
      <c r="A46" s="187"/>
      <c r="B46" s="187"/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</row>
    <row r="47">
      <c r="A47" s="187"/>
      <c r="B47" s="187"/>
      <c r="C47" s="187"/>
      <c r="D47" s="187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</row>
    <row r="48">
      <c r="A48" s="187"/>
      <c r="B48" s="187"/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</row>
    <row r="49">
      <c r="A49" s="187"/>
      <c r="B49" s="187"/>
      <c r="C49" s="187"/>
      <c r="D49" s="187"/>
      <c r="E49" s="187"/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</row>
    <row r="50">
      <c r="A50" s="187"/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</row>
    <row r="51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</row>
    <row r="52">
      <c r="A52" s="187"/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</row>
    <row r="53">
      <c r="A53" s="187"/>
      <c r="B53" s="187"/>
      <c r="C53" s="187"/>
      <c r="D53" s="187"/>
      <c r="E53" s="187"/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</row>
    <row r="54">
      <c r="A54" s="187"/>
      <c r="B54" s="187"/>
      <c r="C54" s="187"/>
      <c r="D54" s="187"/>
      <c r="E54" s="187"/>
      <c r="F54" s="187"/>
      <c r="G54" s="187"/>
      <c r="H54" s="187"/>
      <c r="I54" s="187"/>
      <c r="J54" s="187"/>
      <c r="K54" s="187"/>
      <c r="L54" s="187"/>
      <c r="M54" s="187"/>
      <c r="N54" s="187"/>
      <c r="O54" s="187"/>
      <c r="P54" s="187"/>
      <c r="Q54" s="187"/>
      <c r="R54" s="187"/>
      <c r="S54" s="187"/>
      <c r="T54" s="187"/>
    </row>
    <row r="55">
      <c r="A55" s="187"/>
      <c r="B55" s="187"/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</row>
    <row r="56">
      <c r="A56" s="187"/>
      <c r="B56" s="187"/>
      <c r="C56" s="187"/>
      <c r="D56" s="187"/>
      <c r="E56" s="187"/>
      <c r="F56" s="187"/>
      <c r="G56" s="187"/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R56" s="187"/>
      <c r="S56" s="187"/>
      <c r="T56" s="187"/>
    </row>
    <row r="57">
      <c r="A57" s="187"/>
      <c r="B57" s="187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</row>
    <row r="58">
      <c r="A58" s="187"/>
      <c r="B58" s="187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</row>
    <row r="59">
      <c r="A59" s="187"/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</row>
    <row r="60">
      <c r="A60" s="187"/>
      <c r="B60" s="187"/>
      <c r="C60" s="187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</row>
    <row r="61">
      <c r="A61" s="187"/>
      <c r="B61" s="187"/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</row>
    <row r="62">
      <c r="A62" s="187"/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</row>
    <row r="63">
      <c r="A63" s="187"/>
      <c r="B63" s="187"/>
      <c r="C63" s="187"/>
      <c r="D63" s="187"/>
      <c r="E63" s="187"/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</row>
    <row r="64">
      <c r="A64" s="187"/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</row>
    <row r="65">
      <c r="A65" s="187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</row>
    <row r="66">
      <c r="A66" s="187"/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</row>
    <row r="67">
      <c r="A67" s="187"/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</row>
    <row r="68">
      <c r="A68" s="187"/>
      <c r="B68" s="187"/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</row>
    <row r="69">
      <c r="A69" s="187"/>
      <c r="B69" s="187"/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</row>
    <row r="70">
      <c r="A70" s="187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</row>
    <row r="71">
      <c r="A71" s="187"/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</row>
    <row r="72">
      <c r="A72" s="187"/>
      <c r="B72" s="187"/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</row>
    <row r="73">
      <c r="A73" s="187"/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</row>
    <row r="74">
      <c r="A74" s="187"/>
      <c r="B74" s="187"/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</row>
    <row r="75">
      <c r="A75" s="187"/>
      <c r="B75" s="187"/>
      <c r="C75" s="187"/>
      <c r="D75" s="187"/>
      <c r="E75" s="187"/>
      <c r="F75" s="187"/>
      <c r="G75" s="187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</row>
    <row r="76">
      <c r="A76" s="187"/>
      <c r="B76" s="187"/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</row>
    <row r="77">
      <c r="A77" s="187"/>
      <c r="B77" s="187"/>
      <c r="C77" s="187"/>
      <c r="D77" s="187"/>
      <c r="E77" s="187"/>
      <c r="F77" s="187"/>
      <c r="G77" s="187"/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</row>
    <row r="78">
      <c r="A78" s="187"/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</row>
    <row r="79">
      <c r="A79" s="187"/>
      <c r="B79" s="187"/>
      <c r="C79" s="187"/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</row>
    <row r="80">
      <c r="A80" s="187"/>
      <c r="B80" s="187"/>
      <c r="C80" s="187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</row>
    <row r="81">
      <c r="A81" s="187"/>
      <c r="B81" s="187"/>
      <c r="C81" s="187"/>
      <c r="D81" s="187"/>
      <c r="E81" s="187"/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187"/>
    </row>
    <row r="82">
      <c r="A82" s="187"/>
      <c r="B82" s="187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</row>
    <row r="83">
      <c r="A83" s="187"/>
      <c r="B83" s="187"/>
      <c r="C83" s="187"/>
      <c r="D83" s="187"/>
      <c r="E83" s="187"/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</row>
    <row r="84">
      <c r="A84" s="187"/>
      <c r="B84" s="187"/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</row>
    <row r="85">
      <c r="A85" s="187"/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</row>
    <row r="86">
      <c r="A86" s="187"/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</row>
    <row r="87">
      <c r="A87" s="187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</row>
    <row r="88">
      <c r="A88" s="187"/>
      <c r="B88" s="187"/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</row>
    <row r="89">
      <c r="A89" s="187"/>
      <c r="B89" s="187"/>
      <c r="C89" s="187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</row>
    <row r="90">
      <c r="A90" s="187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</row>
    <row r="91">
      <c r="A91" s="187"/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</row>
    <row r="92">
      <c r="A92" s="187"/>
      <c r="B92" s="187"/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</row>
    <row r="93">
      <c r="A93" s="187"/>
      <c r="B93" s="187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</row>
    <row r="94">
      <c r="A94" s="187"/>
      <c r="B94" s="187"/>
      <c r="C94" s="187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</row>
    <row r="95">
      <c r="A95" s="187"/>
      <c r="B95" s="187"/>
      <c r="C95" s="187"/>
      <c r="D95" s="187"/>
      <c r="E95" s="187"/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</row>
    <row r="96">
      <c r="A96" s="187"/>
      <c r="B96" s="187"/>
      <c r="C96" s="187"/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</row>
    <row r="97">
      <c r="A97" s="187"/>
      <c r="B97" s="187"/>
      <c r="C97" s="187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</row>
    <row r="98">
      <c r="A98" s="187"/>
      <c r="B98" s="187"/>
      <c r="C98" s="187"/>
      <c r="D98" s="187"/>
      <c r="E98" s="187"/>
      <c r="F98" s="187"/>
      <c r="G98" s="187"/>
      <c r="H98" s="187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</row>
    <row r="99">
      <c r="A99" s="187"/>
      <c r="B99" s="187"/>
      <c r="C99" s="187"/>
      <c r="D99" s="187"/>
      <c r="E99" s="187"/>
      <c r="F99" s="187"/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7"/>
    </row>
    <row r="100">
      <c r="A100" s="187"/>
      <c r="B100" s="187"/>
      <c r="C100" s="187"/>
      <c r="D100" s="187"/>
      <c r="E100" s="187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</row>
    <row r="101">
      <c r="A101" s="187"/>
      <c r="B101" s="187"/>
      <c r="C101" s="187"/>
      <c r="D101" s="187"/>
      <c r="E101" s="187"/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</row>
    <row r="102">
      <c r="A102" s="187"/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</row>
    <row r="103">
      <c r="A103" s="187"/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</row>
    <row r="104">
      <c r="A104" s="187"/>
      <c r="B104" s="187"/>
      <c r="C104" s="187"/>
      <c r="D104" s="187"/>
      <c r="E104" s="187"/>
      <c r="F104" s="187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</row>
    <row r="105">
      <c r="A105" s="187"/>
      <c r="B105" s="187"/>
      <c r="C105" s="187"/>
      <c r="D105" s="187"/>
      <c r="E105" s="187"/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</row>
    <row r="106">
      <c r="A106" s="187"/>
      <c r="B106" s="187"/>
      <c r="C106" s="187"/>
      <c r="D106" s="187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</row>
    <row r="107">
      <c r="A107" s="187"/>
      <c r="B107" s="187"/>
      <c r="C107" s="187"/>
      <c r="D107" s="187"/>
      <c r="E107" s="187"/>
      <c r="F107" s="187"/>
      <c r="G107" s="187"/>
      <c r="H107" s="187"/>
      <c r="I107" s="187"/>
      <c r="J107" s="187"/>
      <c r="K107" s="187"/>
      <c r="L107" s="187"/>
      <c r="M107" s="187"/>
      <c r="N107" s="187"/>
      <c r="O107" s="187"/>
      <c r="P107" s="187"/>
      <c r="Q107" s="187"/>
      <c r="R107" s="187"/>
      <c r="S107" s="187"/>
      <c r="T107" s="187"/>
    </row>
    <row r="108">
      <c r="A108" s="187"/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</row>
    <row r="109">
      <c r="A109" s="187"/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</row>
    <row r="110">
      <c r="A110" s="187"/>
      <c r="B110" s="187"/>
      <c r="C110" s="187"/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7"/>
      <c r="T110" s="187"/>
    </row>
    <row r="111">
      <c r="A111" s="187"/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</row>
    <row r="112">
      <c r="A112" s="187"/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</row>
    <row r="113">
      <c r="A113" s="187"/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</row>
    <row r="114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</row>
    <row r="115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</row>
    <row r="116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</row>
    <row r="117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</row>
    <row r="118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</row>
    <row r="119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</row>
    <row r="120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</row>
    <row r="12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</row>
    <row r="122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</row>
    <row r="123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</row>
    <row r="124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</row>
    <row r="125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</row>
    <row r="126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</row>
    <row r="127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</row>
    <row r="128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</row>
    <row r="129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</row>
    <row r="130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</row>
    <row r="13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</row>
    <row r="132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</row>
    <row r="133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</row>
    <row r="134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</row>
    <row r="135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</row>
    <row r="136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</row>
    <row r="137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</row>
    <row r="138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</row>
    <row r="139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</row>
    <row r="140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</row>
    <row r="14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</row>
    <row r="142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</row>
    <row r="143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</row>
    <row r="144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</row>
    <row r="145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</row>
    <row r="146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</row>
    <row r="147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</row>
    <row r="148">
      <c r="A148" s="187"/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</row>
    <row r="149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</row>
    <row r="150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</row>
    <row r="15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</row>
    <row r="152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</row>
    <row r="153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</row>
    <row r="154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</row>
    <row r="155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</row>
    <row r="156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</row>
    <row r="157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</row>
    <row r="158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</row>
    <row r="159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</row>
    <row r="160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</row>
    <row r="16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</row>
    <row r="162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</row>
    <row r="163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</row>
    <row r="164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</row>
    <row r="165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</row>
    <row r="166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</row>
    <row r="167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</row>
    <row r="168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</row>
    <row r="169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</row>
    <row r="170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</row>
    <row r="17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</row>
    <row r="172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</row>
    <row r="173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</row>
    <row r="174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</row>
    <row r="175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</row>
    <row r="176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</row>
    <row r="177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</row>
    <row r="178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</row>
    <row r="179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</row>
    <row r="180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</row>
    <row r="18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</row>
    <row r="182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</row>
    <row r="183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</row>
    <row r="184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</row>
    <row r="185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</row>
    <row r="186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</row>
    <row r="187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</row>
    <row r="188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</row>
    <row r="189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</row>
    <row r="190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</row>
    <row r="19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</row>
    <row r="192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</row>
    <row r="193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</row>
    <row r="194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</row>
    <row r="195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</row>
    <row r="196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</row>
    <row r="197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</row>
    <row r="198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</row>
    <row r="199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</row>
    <row r="200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</row>
  </sheetData>
  <pageMargins bottom="1" footer="0.5" header="0.5" left="0.75" right="0.75" top="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6"/>
  <cols>
    <col collapsed="false" customWidth="true" hidden="false" max="6" min="6" style="0" width="10"/>
    <col collapsed="false" customWidth="true" hidden="false" max="8" min="8" style="0" width="10"/>
    <col collapsed="false" customWidth="true" hidden="false" max="10" min="10" style="0" width="10"/>
    <col collapsed="false" customWidth="true" hidden="false" max="2" min="2" style="0" width="13"/>
    <col collapsed="false" customWidth="true" hidden="false" max="3" min="3" style="0" width="8"/>
    <col collapsed="false" customWidth="true" hidden="false" max="5" min="5" style="0" width="10"/>
    <col collapsed="false" customWidth="true" hidden="false" max="7" min="7" style="0" width="10"/>
    <col collapsed="false" customWidth="true" hidden="false" max="9" min="9" style="0" width="10"/>
    <col collapsed="false" customWidth="true" hidden="false" max="11" min="11" style="0" width="10"/>
    <col collapsed="false" customWidth="true" hidden="false" max="1" min="1" style="0" width="5"/>
  </cols>
  <sheetData>
    <row customHeight="true" ht="13" r="1">
      <c r="A1" s="189" t="s">
        <v>346</v>
      </c>
      <c r="B1" s="189" t="s">
        <v>347</v>
      </c>
      <c r="C1" s="189" t="s">
        <v>348</v>
      </c>
      <c r="D1" s="190" t="s">
        <v>349</v>
      </c>
      <c r="E1" s="190" t="s">
        <v>350</v>
      </c>
      <c r="F1" s="190"/>
      <c r="G1" s="191">
        <v>46388</v>
      </c>
      <c r="H1" s="191">
        <v>46419</v>
      </c>
      <c r="I1" s="191">
        <v>46447</v>
      </c>
      <c r="J1" s="191">
        <v>46478</v>
      </c>
      <c r="K1" s="191">
        <v>46508</v>
      </c>
    </row>
    <row customHeight="true" ht="13" r="2">
      <c r="A2" s="190" t="s">
        <v>351</v>
      </c>
      <c r="B2" s="190" t="s">
        <v>352</v>
      </c>
      <c r="C2" s="190" t="s">
        <v>353</v>
      </c>
      <c r="D2" s="190"/>
      <c r="E2" s="190" t="s">
        <v>354</v>
      </c>
      <c r="F2" s="190" t="s">
        <v>355</v>
      </c>
      <c r="G2" s="192" t="s">
        <v>356</v>
      </c>
      <c r="H2" s="192" t="s">
        <v>356</v>
      </c>
      <c r="I2" s="193" t="s">
        <v>357</v>
      </c>
      <c r="J2" s="193" t="s">
        <v>357</v>
      </c>
      <c r="K2" s="193" t="s">
        <v>357</v>
      </c>
    </row>
    <row customHeight="true" ht="13" r="3">
      <c r="A3" s="190" t="s">
        <v>351</v>
      </c>
      <c r="B3" s="190" t="s">
        <v>358</v>
      </c>
      <c r="C3" s="190" t="s">
        <v>359</v>
      </c>
      <c r="D3" s="190"/>
      <c r="E3" s="190" t="s">
        <v>360</v>
      </c>
      <c r="F3" s="190" t="s">
        <v>355</v>
      </c>
      <c r="G3" s="193" t="s">
        <v>361</v>
      </c>
      <c r="H3" s="193" t="s">
        <v>357</v>
      </c>
      <c r="I3" s="193" t="s">
        <v>357</v>
      </c>
      <c r="J3" s="193" t="s">
        <v>357</v>
      </c>
      <c r="K3" s="193" t="s">
        <v>357</v>
      </c>
    </row>
    <row customHeight="true" ht="13" r="4">
      <c r="A4" s="190" t="s">
        <v>351</v>
      </c>
      <c r="B4" s="190" t="s">
        <v>362</v>
      </c>
      <c r="C4" s="190" t="s">
        <v>363</v>
      </c>
      <c r="D4" s="190"/>
      <c r="E4" s="190" t="s">
        <v>364</v>
      </c>
      <c r="F4" s="190" t="s">
        <v>355</v>
      </c>
      <c r="G4" s="192">
        <v>1</v>
      </c>
      <c r="H4" s="194">
        <v>1</v>
      </c>
      <c r="I4" s="194">
        <v>1</v>
      </c>
      <c r="J4" s="194">
        <v>1</v>
      </c>
      <c r="K4" s="194">
        <v>1</v>
      </c>
    </row>
    <row customHeight="true" ht="13" r="5">
      <c r="A5" s="190" t="s">
        <v>351</v>
      </c>
      <c r="B5" s="190" t="s">
        <v>365</v>
      </c>
      <c r="C5" s="190" t="s">
        <v>366</v>
      </c>
      <c r="D5" s="190"/>
      <c r="E5" s="190" t="s">
        <v>367</v>
      </c>
      <c r="F5" s="190" t="s">
        <v>355</v>
      </c>
      <c r="G5" s="193" t="s">
        <v>368</v>
      </c>
      <c r="H5" s="194">
        <v>3</v>
      </c>
      <c r="I5" s="194">
        <v>2</v>
      </c>
      <c r="J5" s="195" t="s">
        <v>369</v>
      </c>
      <c r="K5" s="195" t="s">
        <v>369</v>
      </c>
    </row>
    <row customHeight="true" ht="13" r="6">
      <c r="A6" s="190" t="s">
        <v>351</v>
      </c>
      <c r="B6" s="190" t="s">
        <v>370</v>
      </c>
      <c r="C6" s="190" t="s">
        <v>371</v>
      </c>
      <c r="D6" s="190" t="s">
        <v>372</v>
      </c>
      <c r="E6" s="190" t="s">
        <v>373</v>
      </c>
      <c r="F6" s="190" t="s">
        <v>355</v>
      </c>
      <c r="G6" s="194"/>
      <c r="H6" s="194"/>
      <c r="I6" s="194" t="s">
        <v>374</v>
      </c>
      <c r="J6" s="194">
        <v>50</v>
      </c>
      <c r="K6" s="194">
        <v>50</v>
      </c>
    </row>
    <row customHeight="true" ht="13" r="7">
      <c r="A7" s="190" t="s">
        <v>351</v>
      </c>
      <c r="B7" s="190" t="s">
        <v>375</v>
      </c>
      <c r="C7" s="190" t="s">
        <v>376</v>
      </c>
      <c r="D7" s="190"/>
      <c r="E7" s="190" t="s">
        <v>373</v>
      </c>
      <c r="F7" s="190" t="s">
        <v>355</v>
      </c>
      <c r="G7" s="194"/>
      <c r="H7" s="194"/>
      <c r="I7" s="194" t="s">
        <v>374</v>
      </c>
      <c r="J7" s="194">
        <v>50</v>
      </c>
      <c r="K7" s="194">
        <v>50</v>
      </c>
    </row>
    <row customHeight="true" ht="13" r="8">
      <c r="A8" s="190" t="s">
        <v>351</v>
      </c>
      <c r="B8" s="190" t="s">
        <v>377</v>
      </c>
      <c r="C8" s="190" t="s">
        <v>378</v>
      </c>
      <c r="D8" s="190" t="s">
        <v>379</v>
      </c>
      <c r="E8" s="190" t="s">
        <v>373</v>
      </c>
      <c r="F8" s="190" t="s">
        <v>355</v>
      </c>
      <c r="G8" s="194"/>
      <c r="H8" s="194"/>
      <c r="I8" s="194" t="s">
        <v>374</v>
      </c>
      <c r="J8" s="194">
        <v>50</v>
      </c>
      <c r="K8" s="194">
        <v>50</v>
      </c>
    </row>
    <row customHeight="true" ht="13" r="9">
      <c r="A9" s="190" t="s">
        <v>351</v>
      </c>
      <c r="B9" s="190" t="s">
        <v>380</v>
      </c>
      <c r="C9" s="190" t="s">
        <v>381</v>
      </c>
      <c r="D9" s="190"/>
      <c r="E9" s="190" t="s">
        <v>382</v>
      </c>
      <c r="F9" s="190" t="s">
        <v>355</v>
      </c>
      <c r="G9" s="194"/>
      <c r="H9" s="194"/>
      <c r="I9" s="194" t="s">
        <v>374</v>
      </c>
      <c r="J9" s="194">
        <v>50</v>
      </c>
      <c r="K9" s="194">
        <v>50</v>
      </c>
    </row>
    <row customHeight="true" ht="13" r="10">
      <c r="A10" s="190" t="s">
        <v>351</v>
      </c>
      <c r="B10" s="190" t="s">
        <v>383</v>
      </c>
      <c r="C10" s="190" t="s">
        <v>384</v>
      </c>
      <c r="D10" s="190"/>
      <c r="E10" s="190" t="s">
        <v>385</v>
      </c>
      <c r="F10" s="190" t="s">
        <v>355</v>
      </c>
      <c r="G10" s="194"/>
      <c r="H10" s="194"/>
      <c r="I10" s="194" t="s">
        <v>374</v>
      </c>
      <c r="J10" s="194">
        <v>50</v>
      </c>
      <c r="K10" s="194">
        <v>50</v>
      </c>
    </row>
    <row customHeight="true" ht="13" r="11">
      <c r="A11" s="190" t="s">
        <v>386</v>
      </c>
      <c r="B11" s="190" t="s">
        <v>387</v>
      </c>
      <c r="C11" s="190" t="s">
        <v>388</v>
      </c>
      <c r="D11" s="190"/>
      <c r="E11" s="190" t="s">
        <v>389</v>
      </c>
      <c r="F11" s="190" t="s">
        <v>355</v>
      </c>
      <c r="G11" s="194"/>
      <c r="H11" s="194"/>
      <c r="I11" s="194">
        <v>1</v>
      </c>
      <c r="J11" s="194">
        <v>1</v>
      </c>
      <c r="K11" s="194">
        <v>1</v>
      </c>
    </row>
    <row customHeight="true" ht="13" r="12">
      <c r="A12" s="190" t="s">
        <v>386</v>
      </c>
      <c r="B12" s="190" t="s">
        <v>390</v>
      </c>
      <c r="C12" s="190" t="s">
        <v>391</v>
      </c>
      <c r="D12" s="190"/>
      <c r="E12" s="190" t="s">
        <v>392</v>
      </c>
      <c r="F12" s="190" t="s">
        <v>355</v>
      </c>
      <c r="G12" s="194"/>
      <c r="H12" s="194"/>
      <c r="I12" s="195" t="s">
        <v>393</v>
      </c>
      <c r="J12" s="195" t="s">
        <v>393</v>
      </c>
      <c r="K12" s="195" t="s">
        <v>393</v>
      </c>
    </row>
    <row customHeight="true" ht="13" r="13">
      <c r="A13" s="190" t="s">
        <v>386</v>
      </c>
      <c r="B13" s="190" t="s">
        <v>394</v>
      </c>
      <c r="C13" s="190" t="s">
        <v>395</v>
      </c>
      <c r="D13" s="190"/>
      <c r="E13" s="190" t="s">
        <v>396</v>
      </c>
      <c r="F13" s="190" t="s">
        <v>355</v>
      </c>
      <c r="G13" s="194"/>
      <c r="H13" s="194"/>
      <c r="I13" s="193" t="s">
        <v>356</v>
      </c>
      <c r="J13" s="193" t="s">
        <v>357</v>
      </c>
      <c r="K13" s="193" t="s">
        <v>357</v>
      </c>
    </row>
    <row customHeight="true" ht="13" r="14">
      <c r="A14" s="190" t="s">
        <v>386</v>
      </c>
      <c r="B14" s="190" t="s">
        <v>397</v>
      </c>
      <c r="C14" s="190" t="s">
        <v>398</v>
      </c>
      <c r="D14" s="190"/>
      <c r="E14" s="190" t="s">
        <v>399</v>
      </c>
      <c r="F14" s="190" t="s">
        <v>355</v>
      </c>
      <c r="G14" s="194"/>
      <c r="H14" s="194"/>
      <c r="I14" s="193" t="s">
        <v>356</v>
      </c>
      <c r="J14" s="193" t="s">
        <v>356</v>
      </c>
      <c r="K14" s="193" t="s">
        <v>356</v>
      </c>
    </row>
  </sheetData>
  <autoFilter ref="A1:K14"/>
  <pageMargins bottom="1" footer="0.5" header="0.5" left="0.75" right="0.75" top="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6"/>
  <cols>
    <col collapsed="false" customWidth="true" hidden="false" max="1" min="1" style="0" width="7"/>
    <col collapsed="false" customWidth="true" hidden="false" max="5" min="5" style="0" width="7"/>
    <col collapsed="false" customWidth="true" hidden="false" max="9" min="9" style="0" width="12"/>
    <col collapsed="false" customWidth="true" hidden="false" max="13" min="13" style="0" width="7"/>
    <col collapsed="false" customWidth="true" hidden="false" max="17" min="17" style="0" width="11"/>
    <col collapsed="false" customWidth="true" hidden="false" max="2" min="2" style="0" width="11"/>
    <col collapsed="false" customWidth="true" hidden="false" max="10" min="10" style="0" width="7"/>
    <col collapsed="false" customWidth="true" hidden="false" max="14" min="14" style="0" width="7"/>
    <col collapsed="false" customWidth="true" hidden="false" max="18" min="18" style="0" width="7"/>
    <col collapsed="false" customWidth="true" hidden="false" max="3" min="3" style="0" width="11"/>
    <col collapsed="false" customWidth="true" hidden="false" max="11" min="11" style="0" width="7"/>
    <col collapsed="false" customWidth="true" hidden="false" max="15" min="15" style="0" width="7"/>
    <col collapsed="false" customWidth="true" hidden="false" max="19" min="19" style="0" width="7"/>
    <col collapsed="false" customWidth="true" hidden="false" max="4" min="4" style="0" width="7"/>
    <col collapsed="false" customWidth="true" hidden="false" max="12" min="12" style="0" width="7"/>
    <col collapsed="false" customWidth="true" hidden="false" max="16" min="16" style="0" width="7"/>
    <col collapsed="false" customWidth="true" hidden="false" max="20" min="20" style="0" width="7"/>
  </cols>
  <sheetData>
    <row customHeight="true" ht="13" r="1">
      <c r="A1" s="196" t="s">
        <v>400</v>
      </c>
      <c r="B1" s="196" t="s">
        <v>401</v>
      </c>
      <c r="C1" s="196" t="s">
        <v>402</v>
      </c>
      <c r="D1" s="197" t="s">
        <v>403</v>
      </c>
      <c r="E1" s="196" t="s">
        <v>404</v>
      </c>
      <c r="I1" s="198"/>
      <c r="J1" s="198"/>
    </row>
    <row customHeight="true" ht="13" r="2">
      <c r="A2" s="196" t="s">
        <v>405</v>
      </c>
      <c r="B2" s="199" t="s">
        <v>406</v>
      </c>
      <c r="C2" s="199">
        <v>2024</v>
      </c>
      <c r="D2" s="200" t="s">
        <v>407</v>
      </c>
      <c r="E2" s="196">
        <v>84794</v>
      </c>
      <c r="I2" s="198"/>
      <c r="J2" s="198"/>
      <c r="K2" s="198"/>
      <c r="L2" s="198"/>
      <c r="M2" s="198"/>
      <c r="N2" s="198"/>
      <c r="O2" s="198"/>
      <c r="P2" s="198"/>
    </row>
    <row customHeight="true" ht="13" r="3">
      <c r="A3" s="196" t="s">
        <v>405</v>
      </c>
      <c r="B3" s="199" t="s">
        <v>406</v>
      </c>
      <c r="C3" s="199">
        <v>2024</v>
      </c>
      <c r="D3" s="200" t="s">
        <v>408</v>
      </c>
      <c r="E3" s="196">
        <v>108354</v>
      </c>
      <c r="I3" s="198"/>
      <c r="J3" s="198"/>
      <c r="K3" s="198"/>
      <c r="L3" s="198"/>
      <c r="M3" s="198"/>
      <c r="N3" s="198"/>
      <c r="O3" s="198"/>
      <c r="P3" s="198"/>
    </row>
    <row customHeight="true" ht="13" r="4">
      <c r="A4" s="196" t="s">
        <v>405</v>
      </c>
      <c r="B4" s="199" t="s">
        <v>406</v>
      </c>
      <c r="C4" s="199">
        <v>2024</v>
      </c>
      <c r="D4" s="200" t="s">
        <v>409</v>
      </c>
      <c r="E4" s="196">
        <v>233983</v>
      </c>
      <c r="I4" s="198"/>
      <c r="J4" s="198"/>
      <c r="K4" s="198"/>
      <c r="L4" s="198"/>
      <c r="M4" s="198"/>
      <c r="N4" s="198"/>
      <c r="O4" s="198"/>
      <c r="P4" s="198"/>
    </row>
    <row customHeight="true" ht="13" r="5">
      <c r="A5" s="196" t="s">
        <v>405</v>
      </c>
      <c r="B5" s="199" t="s">
        <v>406</v>
      </c>
      <c r="C5" s="199">
        <v>2024</v>
      </c>
      <c r="D5" s="200" t="s">
        <v>410</v>
      </c>
      <c r="E5" s="196">
        <v>347426</v>
      </c>
      <c r="I5" s="198"/>
      <c r="J5" s="198"/>
      <c r="K5" s="198"/>
      <c r="L5" s="198"/>
      <c r="M5" s="198"/>
      <c r="N5" s="198"/>
      <c r="O5" s="198"/>
      <c r="P5" s="198"/>
      <c r="Q5">
        <f>(P5-P4)/P4</f>
      </c>
    </row>
    <row customHeight="true" ht="13" r="6">
      <c r="A6" s="196" t="s">
        <v>405</v>
      </c>
      <c r="B6" s="199" t="s">
        <v>406</v>
      </c>
      <c r="C6" s="199">
        <v>2024</v>
      </c>
      <c r="D6" s="200" t="s">
        <v>411</v>
      </c>
      <c r="E6" s="196">
        <v>449824</v>
      </c>
      <c r="I6" s="198"/>
      <c r="J6" s="198"/>
      <c r="K6" s="198"/>
      <c r="L6" s="198"/>
      <c r="M6" s="198"/>
      <c r="N6" s="198"/>
      <c r="O6" s="198"/>
      <c r="P6" s="198"/>
    </row>
    <row customHeight="true" ht="13" r="7">
      <c r="A7" s="196" t="s">
        <v>405</v>
      </c>
      <c r="B7" s="199" t="s">
        <v>406</v>
      </c>
      <c r="C7" s="199">
        <v>2024</v>
      </c>
      <c r="D7" s="200" t="s">
        <v>412</v>
      </c>
      <c r="E7" s="196">
        <v>403338</v>
      </c>
    </row>
    <row customHeight="true" ht="13" r="8">
      <c r="A8" s="196" t="s">
        <v>405</v>
      </c>
      <c r="B8" s="199" t="s">
        <v>406</v>
      </c>
      <c r="C8" s="199"/>
      <c r="D8" s="200" t="s">
        <v>413</v>
      </c>
      <c r="E8" s="196">
        <v>380697</v>
      </c>
    </row>
    <row customHeight="true" ht="13" r="9">
      <c r="A9" s="196" t="s">
        <v>405</v>
      </c>
      <c r="B9" s="199" t="s">
        <v>406</v>
      </c>
      <c r="C9" s="199"/>
      <c r="D9" s="200" t="s">
        <v>414</v>
      </c>
      <c r="E9" s="196">
        <v>269701</v>
      </c>
    </row>
    <row customHeight="true" ht="13" r="10">
      <c r="A10" s="196" t="s">
        <v>405</v>
      </c>
      <c r="B10" s="199" t="s">
        <v>406</v>
      </c>
      <c r="C10" s="199"/>
      <c r="D10" s="200" t="s">
        <v>415</v>
      </c>
      <c r="E10" s="196">
        <v>234012</v>
      </c>
    </row>
    <row customHeight="true" ht="13" r="11">
      <c r="A11" s="196" t="s">
        <v>405</v>
      </c>
      <c r="B11" s="199" t="s">
        <v>406</v>
      </c>
      <c r="C11" s="199"/>
      <c r="D11" s="200" t="s">
        <v>416</v>
      </c>
      <c r="E11" s="196">
        <v>199521</v>
      </c>
    </row>
    <row customHeight="true" ht="13" r="12">
      <c r="A12" s="196" t="s">
        <v>405</v>
      </c>
      <c r="B12" s="199" t="s">
        <v>406</v>
      </c>
      <c r="C12" s="199"/>
      <c r="D12" s="200" t="s">
        <v>417</v>
      </c>
      <c r="E12" s="196">
        <v>162869</v>
      </c>
    </row>
    <row customHeight="true" ht="13" r="13">
      <c r="A13" s="196" t="s">
        <v>405</v>
      </c>
      <c r="B13" s="199" t="s">
        <v>406</v>
      </c>
      <c r="C13" s="199"/>
      <c r="D13" s="200" t="s">
        <v>418</v>
      </c>
      <c r="E13" s="196">
        <v>125700</v>
      </c>
    </row>
    <row customHeight="true" ht="13" r="14">
      <c r="A14" s="196" t="s">
        <v>405</v>
      </c>
      <c r="B14" s="199" t="s">
        <v>406</v>
      </c>
      <c r="C14" s="199">
        <v>2025</v>
      </c>
      <c r="D14" s="200" t="s">
        <v>407</v>
      </c>
      <c r="E14" s="196">
        <v>101991</v>
      </c>
    </row>
    <row customHeight="true" ht="13" r="15">
      <c r="A15" s="196" t="s">
        <v>405</v>
      </c>
      <c r="B15" s="199" t="s">
        <v>406</v>
      </c>
      <c r="C15" s="199">
        <v>2025</v>
      </c>
      <c r="D15" s="200" t="s">
        <v>408</v>
      </c>
      <c r="E15" s="196">
        <v>123187</v>
      </c>
    </row>
    <row customHeight="true" ht="13" r="16">
      <c r="A16" s="196" t="s">
        <v>405</v>
      </c>
      <c r="B16" s="199" t="s">
        <v>406</v>
      </c>
      <c r="C16" s="199">
        <v>2025</v>
      </c>
      <c r="D16" s="200" t="s">
        <v>409</v>
      </c>
      <c r="E16" s="196">
        <v>255621</v>
      </c>
    </row>
    <row customHeight="true" ht="13" r="17">
      <c r="A17" s="196" t="s">
        <v>405</v>
      </c>
      <c r="B17" s="199" t="s">
        <v>406</v>
      </c>
      <c r="C17" s="199">
        <v>2025</v>
      </c>
      <c r="D17" s="200" t="s">
        <v>410</v>
      </c>
      <c r="E17" s="196">
        <v>364728</v>
      </c>
    </row>
    <row customHeight="true" ht="13" r="18">
      <c r="A18" s="196" t="s">
        <v>405</v>
      </c>
      <c r="B18" s="199" t="s">
        <v>406</v>
      </c>
      <c r="C18" s="199">
        <v>2025</v>
      </c>
      <c r="D18" s="200" t="s">
        <v>411</v>
      </c>
      <c r="E18" s="196">
        <v>484252</v>
      </c>
    </row>
    <row customHeight="true" ht="13" r="19">
      <c r="A19" s="196" t="s">
        <v>405</v>
      </c>
      <c r="B19" s="199" t="s">
        <v>406</v>
      </c>
      <c r="C19" s="199">
        <v>2025</v>
      </c>
      <c r="D19" s="200" t="s">
        <v>412</v>
      </c>
      <c r="E19" s="196">
        <v>451986</v>
      </c>
    </row>
    <row customHeight="true" ht="13" r="20">
      <c r="A20" s="196" t="s">
        <v>405</v>
      </c>
      <c r="B20" s="199" t="s">
        <v>406</v>
      </c>
      <c r="C20" s="199"/>
      <c r="D20" s="200" t="s">
        <v>413</v>
      </c>
      <c r="E20" s="196">
        <v>402639</v>
      </c>
    </row>
    <row customHeight="true" ht="13" r="21">
      <c r="A21" s="196" t="s">
        <v>405</v>
      </c>
      <c r="B21" s="199" t="s">
        <v>406</v>
      </c>
      <c r="C21" s="199"/>
      <c r="D21" s="200" t="s">
        <v>414</v>
      </c>
      <c r="E21" s="196">
        <v>275803</v>
      </c>
    </row>
    <row customHeight="true" ht="13" r="22">
      <c r="A22" s="196" t="s">
        <v>405</v>
      </c>
      <c r="B22" s="199" t="s">
        <v>406</v>
      </c>
      <c r="C22" s="199"/>
      <c r="D22" s="200" t="s">
        <v>415</v>
      </c>
      <c r="E22" s="196">
        <v>231220</v>
      </c>
    </row>
    <row customHeight="true" ht="13" r="23">
      <c r="A23" s="196" t="s">
        <v>405</v>
      </c>
      <c r="B23" s="199" t="s">
        <v>406</v>
      </c>
      <c r="C23" s="199"/>
      <c r="D23" s="200" t="s">
        <v>416</v>
      </c>
      <c r="E23" s="196">
        <v>175245</v>
      </c>
    </row>
    <row customHeight="true" ht="13" r="24">
      <c r="A24" s="196" t="s">
        <v>405</v>
      </c>
      <c r="B24" s="199" t="s">
        <v>406</v>
      </c>
      <c r="C24" s="199"/>
      <c r="D24" s="200" t="s">
        <v>417</v>
      </c>
      <c r="E24" s="196">
        <v>167387</v>
      </c>
    </row>
    <row customHeight="true" ht="13" r="25">
      <c r="A25" s="196" t="s">
        <v>405</v>
      </c>
      <c r="B25" s="199" t="s">
        <v>406</v>
      </c>
      <c r="C25" s="199"/>
      <c r="D25" s="200" t="s">
        <v>418</v>
      </c>
      <c r="E25" s="196">
        <v>117194</v>
      </c>
    </row>
    <row customHeight="true" ht="13" r="26">
      <c r="A26" s="196" t="s">
        <v>405</v>
      </c>
      <c r="B26" s="199" t="s">
        <v>406</v>
      </c>
      <c r="C26" s="199">
        <v>2026</v>
      </c>
      <c r="D26" s="200" t="s">
        <v>407</v>
      </c>
      <c r="E26" s="196">
        <v>87343</v>
      </c>
    </row>
    <row customHeight="true" ht="13" r="27">
      <c r="A27" s="196" t="s">
        <v>405</v>
      </c>
      <c r="B27" s="199" t="s">
        <v>406</v>
      </c>
      <c r="C27" s="199">
        <v>2026</v>
      </c>
      <c r="D27" s="200" t="s">
        <v>408</v>
      </c>
      <c r="E27" s="196">
        <v>109170</v>
      </c>
    </row>
    <row customHeight="true" ht="13" r="28">
      <c r="A28" s="196" t="s">
        <v>405</v>
      </c>
      <c r="B28" s="199" t="s">
        <v>406</v>
      </c>
      <c r="C28" s="199">
        <v>2026</v>
      </c>
      <c r="D28" s="200" t="s">
        <v>409</v>
      </c>
      <c r="E28" s="196">
        <v>275204</v>
      </c>
    </row>
    <row customHeight="true" ht="13" r="29">
      <c r="A29" s="196" t="s">
        <v>405</v>
      </c>
      <c r="B29" s="199" t="s">
        <v>406</v>
      </c>
      <c r="C29" s="199">
        <v>2026</v>
      </c>
      <c r="D29" s="200" t="s">
        <v>410</v>
      </c>
      <c r="E29" s="196">
        <v>369265</v>
      </c>
    </row>
    <row customHeight="true" ht="13" r="30">
      <c r="A30" s="196" t="s">
        <v>405</v>
      </c>
      <c r="B30" s="199" t="s">
        <v>406</v>
      </c>
      <c r="C30" s="199">
        <v>2026</v>
      </c>
      <c r="D30" s="200" t="s">
        <v>411</v>
      </c>
      <c r="E30" s="196">
        <v>471247</v>
      </c>
    </row>
    <row customHeight="true" ht="13" r="31">
      <c r="A31" s="196" t="s">
        <v>405</v>
      </c>
      <c r="B31" s="199" t="s">
        <v>406</v>
      </c>
      <c r="C31" s="199">
        <v>2026</v>
      </c>
      <c r="D31" s="200" t="s">
        <v>412</v>
      </c>
      <c r="E31" s="196">
        <v>519614</v>
      </c>
    </row>
    <row customHeight="true" ht="13" r="32">
      <c r="A32" s="201"/>
      <c r="B32" s="201"/>
      <c r="C32" s="201"/>
      <c r="D32" s="200"/>
      <c r="E32" s="201"/>
    </row>
    <row customHeight="true" ht="13" r="33">
      <c r="A33" s="201"/>
      <c r="B33" s="201"/>
      <c r="C33" s="201"/>
      <c r="D33" s="200"/>
      <c r="E33" s="201"/>
    </row>
    <row customHeight="true" ht="13" r="34">
      <c r="A34" s="201"/>
      <c r="B34" s="201"/>
      <c r="C34" s="201"/>
      <c r="D34" s="200"/>
      <c r="E34" s="201"/>
    </row>
    <row customHeight="true" ht="13" r="35">
      <c r="A35" s="201"/>
      <c r="B35" s="201"/>
      <c r="C35" s="201"/>
      <c r="D35" s="200"/>
      <c r="E35" s="201"/>
    </row>
    <row customHeight="true" ht="13" r="36">
      <c r="A36" s="201"/>
      <c r="B36" s="201"/>
      <c r="C36" s="201"/>
      <c r="D36" s="200"/>
      <c r="E36" s="201"/>
    </row>
    <row customHeight="true" ht="13" r="37">
      <c r="A37" s="201"/>
      <c r="B37" s="201"/>
      <c r="C37" s="201"/>
      <c r="D37" s="200"/>
      <c r="E37" s="201"/>
    </row>
    <row r="38">
      <c r="A38" s="201"/>
      <c r="B38" s="201"/>
      <c r="C38" s="201"/>
      <c r="D38" s="201"/>
      <c r="E38" s="201"/>
    </row>
    <row r="39">
      <c r="A39" s="201"/>
      <c r="B39" s="201"/>
      <c r="C39" s="201"/>
      <c r="D39" s="201"/>
      <c r="E39" s="201"/>
    </row>
    <row r="40">
      <c r="A40" s="201"/>
      <c r="B40" s="201"/>
      <c r="C40" s="201"/>
      <c r="D40" s="201"/>
      <c r="E40" s="201"/>
    </row>
    <row r="41">
      <c r="A41" s="201"/>
      <c r="B41" s="201"/>
      <c r="C41" s="201"/>
      <c r="D41" s="201"/>
      <c r="E41" s="201"/>
    </row>
    <row r="42">
      <c r="A42" s="201"/>
      <c r="B42" s="201"/>
      <c r="C42" s="201"/>
      <c r="D42" s="201"/>
      <c r="E42" s="201"/>
    </row>
    <row r="43">
      <c r="A43" s="201"/>
      <c r="B43" s="201"/>
      <c r="C43" s="201"/>
      <c r="D43" s="201"/>
      <c r="E43" s="201"/>
    </row>
    <row r="44">
      <c r="A44" s="201"/>
      <c r="B44" s="201"/>
      <c r="C44" s="201"/>
      <c r="D44" s="201"/>
      <c r="E44" s="201"/>
    </row>
    <row r="45">
      <c r="A45" s="201"/>
      <c r="B45" s="201"/>
      <c r="C45" s="201"/>
      <c r="D45" s="201"/>
      <c r="E45" s="201"/>
    </row>
    <row r="46">
      <c r="A46" s="201"/>
      <c r="B46" s="201"/>
      <c r="C46" s="201"/>
      <c r="D46" s="201"/>
      <c r="E46" s="201"/>
    </row>
    <row r="47">
      <c r="A47" s="201"/>
      <c r="B47" s="201"/>
      <c r="C47" s="201"/>
      <c r="D47" s="201"/>
      <c r="E47" s="201"/>
    </row>
    <row r="48">
      <c r="A48" s="201"/>
      <c r="B48" s="201"/>
      <c r="C48" s="201"/>
      <c r="D48" s="201"/>
      <c r="E48" s="201"/>
    </row>
    <row r="49">
      <c r="A49" s="201"/>
      <c r="B49" s="201"/>
      <c r="C49" s="201"/>
      <c r="D49" s="201"/>
      <c r="E49" s="201"/>
    </row>
    <row r="50">
      <c r="A50" s="201"/>
      <c r="B50" s="201"/>
      <c r="C50" s="201"/>
      <c r="D50" s="201"/>
      <c r="E50" s="201"/>
    </row>
    <row r="51">
      <c r="A51" s="201"/>
      <c r="B51" s="201"/>
      <c r="C51" s="201"/>
      <c r="D51" s="201"/>
      <c r="E51" s="201"/>
    </row>
    <row r="52">
      <c r="A52" s="201"/>
      <c r="B52" s="201"/>
      <c r="C52" s="201"/>
      <c r="D52" s="201"/>
      <c r="E52" s="201"/>
    </row>
    <row r="53">
      <c r="A53" s="201"/>
      <c r="B53" s="201"/>
      <c r="C53" s="201"/>
      <c r="D53" s="201"/>
      <c r="E53" s="201"/>
    </row>
    <row r="54">
      <c r="A54" s="201"/>
      <c r="B54" s="201"/>
      <c r="C54" s="201"/>
      <c r="D54" s="201"/>
      <c r="E54" s="201"/>
    </row>
    <row r="55">
      <c r="A55" s="201"/>
      <c r="B55" s="201"/>
      <c r="C55" s="201"/>
      <c r="D55" s="201"/>
      <c r="E55" s="201"/>
    </row>
    <row r="56">
      <c r="A56" s="201"/>
      <c r="B56" s="201"/>
      <c r="C56" s="201"/>
      <c r="D56" s="201"/>
      <c r="E56" s="201"/>
    </row>
    <row r="57">
      <c r="A57" s="201"/>
      <c r="B57" s="201"/>
      <c r="C57" s="201"/>
      <c r="D57" s="201"/>
      <c r="E57" s="201"/>
    </row>
    <row r="58">
      <c r="A58" s="201"/>
      <c r="B58" s="201"/>
      <c r="C58" s="201"/>
      <c r="D58" s="201"/>
      <c r="E58" s="201"/>
    </row>
    <row r="59">
      <c r="A59" s="201"/>
      <c r="B59" s="201"/>
      <c r="C59" s="201"/>
      <c r="D59" s="201"/>
      <c r="E59" s="201"/>
    </row>
    <row r="60">
      <c r="A60" s="201"/>
      <c r="B60" s="201"/>
      <c r="C60" s="201"/>
      <c r="D60" s="201"/>
      <c r="E60" s="201"/>
    </row>
    <row r="61">
      <c r="A61" s="201"/>
      <c r="B61" s="201"/>
      <c r="C61" s="201"/>
      <c r="D61" s="201"/>
      <c r="E61" s="201"/>
    </row>
    <row r="62">
      <c r="A62" s="201"/>
      <c r="B62" s="201"/>
      <c r="C62" s="201"/>
      <c r="D62" s="201"/>
      <c r="E62" s="201"/>
    </row>
    <row r="63">
      <c r="A63" s="201"/>
      <c r="B63" s="201"/>
      <c r="C63" s="201"/>
      <c r="D63" s="201"/>
      <c r="E63" s="201"/>
    </row>
    <row r="64">
      <c r="A64" s="201"/>
      <c r="B64" s="201"/>
      <c r="C64" s="201"/>
      <c r="D64" s="201"/>
      <c r="E64" s="201"/>
    </row>
    <row r="65">
      <c r="A65" s="201"/>
      <c r="B65" s="201"/>
      <c r="C65" s="201"/>
      <c r="D65" s="201"/>
      <c r="E65" s="201"/>
    </row>
    <row r="66">
      <c r="A66" s="201"/>
      <c r="B66" s="201"/>
      <c r="C66" s="201"/>
      <c r="D66" s="201"/>
      <c r="E66" s="201"/>
    </row>
    <row r="67">
      <c r="A67" s="201"/>
      <c r="B67" s="201"/>
      <c r="C67" s="201"/>
      <c r="D67" s="201"/>
      <c r="E67" s="201"/>
    </row>
    <row r="68">
      <c r="A68" s="201"/>
      <c r="B68" s="201"/>
      <c r="C68" s="201"/>
      <c r="D68" s="201"/>
      <c r="E68" s="201"/>
    </row>
    <row r="69">
      <c r="A69" s="201"/>
      <c r="B69" s="201"/>
      <c r="C69" s="201"/>
      <c r="D69" s="201"/>
      <c r="E69" s="201"/>
    </row>
    <row r="70">
      <c r="A70" s="201"/>
      <c r="B70" s="201"/>
      <c r="C70" s="201"/>
      <c r="D70" s="201"/>
      <c r="E70" s="201"/>
    </row>
    <row r="71">
      <c r="A71" s="201"/>
      <c r="B71" s="201"/>
      <c r="C71" s="201"/>
      <c r="D71" s="201"/>
      <c r="E71" s="201"/>
    </row>
    <row r="72">
      <c r="A72" s="201"/>
      <c r="B72" s="201"/>
      <c r="C72" s="201"/>
      <c r="D72" s="201"/>
      <c r="E72" s="201"/>
    </row>
    <row r="73">
      <c r="A73" s="201"/>
      <c r="B73" s="201"/>
      <c r="C73" s="201"/>
      <c r="D73" s="201"/>
      <c r="E73" s="201"/>
    </row>
    <row r="74">
      <c r="A74" s="201"/>
      <c r="B74" s="201"/>
      <c r="C74" s="201"/>
      <c r="D74" s="201"/>
      <c r="E74" s="201"/>
    </row>
    <row r="75">
      <c r="A75" s="201"/>
      <c r="B75" s="201"/>
      <c r="C75" s="201"/>
      <c r="D75" s="201"/>
      <c r="E75" s="201"/>
    </row>
    <row r="76">
      <c r="A76" s="201"/>
      <c r="B76" s="201"/>
      <c r="C76" s="201"/>
      <c r="D76" s="201"/>
      <c r="E76" s="201"/>
    </row>
    <row r="77">
      <c r="A77" s="201"/>
      <c r="B77" s="201"/>
      <c r="C77" s="201"/>
      <c r="D77" s="201"/>
      <c r="E77" s="201"/>
    </row>
    <row r="78">
      <c r="A78" s="201"/>
      <c r="B78" s="201"/>
      <c r="C78" s="201"/>
      <c r="D78" s="201"/>
      <c r="E78" s="201"/>
    </row>
    <row r="79">
      <c r="A79" s="201"/>
      <c r="B79" s="201"/>
      <c r="C79" s="201"/>
      <c r="D79" s="201"/>
      <c r="E79" s="201"/>
    </row>
    <row r="80">
      <c r="A80" s="201"/>
      <c r="B80" s="201"/>
      <c r="C80" s="201"/>
      <c r="D80" s="201"/>
      <c r="E80" s="201"/>
    </row>
    <row r="81">
      <c r="A81" s="201"/>
      <c r="B81" s="201"/>
      <c r="C81" s="201"/>
      <c r="D81" s="201"/>
      <c r="E81" s="201"/>
    </row>
    <row r="82">
      <c r="A82" s="201"/>
      <c r="B82" s="201"/>
      <c r="C82" s="201"/>
      <c r="D82" s="201"/>
      <c r="E82" s="201"/>
    </row>
    <row r="83">
      <c r="A83" s="201"/>
      <c r="B83" s="201"/>
      <c r="C83" s="201"/>
      <c r="D83" s="201"/>
      <c r="E83" s="201"/>
    </row>
    <row r="84">
      <c r="A84" s="201"/>
      <c r="B84" s="201"/>
      <c r="C84" s="201"/>
      <c r="D84" s="201"/>
      <c r="E84" s="201"/>
    </row>
    <row r="85">
      <c r="A85" s="201"/>
      <c r="B85" s="201"/>
      <c r="C85" s="201"/>
      <c r="D85" s="201"/>
      <c r="E85" s="201"/>
    </row>
    <row r="86">
      <c r="A86" s="201"/>
      <c r="B86" s="201"/>
      <c r="C86" s="201"/>
      <c r="D86" s="201"/>
      <c r="E86" s="201"/>
    </row>
    <row r="87">
      <c r="A87" s="201"/>
      <c r="B87" s="201"/>
      <c r="C87" s="201"/>
      <c r="D87" s="201"/>
      <c r="E87" s="201"/>
    </row>
    <row r="88">
      <c r="A88" s="201"/>
      <c r="B88" s="201"/>
      <c r="C88" s="201"/>
      <c r="D88" s="201"/>
      <c r="E88" s="201"/>
    </row>
    <row r="89">
      <c r="A89" s="201"/>
      <c r="B89" s="201"/>
      <c r="C89" s="201"/>
      <c r="D89" s="201"/>
      <c r="E89" s="201"/>
    </row>
    <row r="90">
      <c r="A90" s="201"/>
      <c r="B90" s="201"/>
      <c r="C90" s="201"/>
      <c r="D90" s="201"/>
      <c r="E90" s="201"/>
    </row>
    <row r="91">
      <c r="A91" s="201"/>
      <c r="B91" s="201"/>
      <c r="C91" s="201"/>
      <c r="D91" s="201"/>
      <c r="E91" s="201"/>
    </row>
    <row r="92">
      <c r="A92" s="201"/>
      <c r="B92" s="201"/>
      <c r="C92" s="201"/>
      <c r="D92" s="201"/>
      <c r="E92" s="201"/>
    </row>
    <row r="93">
      <c r="A93" s="201"/>
      <c r="B93" s="201"/>
      <c r="C93" s="201"/>
      <c r="D93" s="201"/>
      <c r="E93" s="201"/>
    </row>
    <row r="94">
      <c r="A94" s="201"/>
      <c r="B94" s="201"/>
      <c r="C94" s="201"/>
      <c r="D94" s="201"/>
      <c r="E94" s="201"/>
    </row>
    <row r="95">
      <c r="A95" s="201"/>
      <c r="B95" s="201"/>
      <c r="C95" s="201"/>
      <c r="D95" s="201"/>
      <c r="E95" s="201"/>
    </row>
    <row r="96">
      <c r="A96" s="201"/>
      <c r="B96" s="201"/>
      <c r="C96" s="201"/>
      <c r="D96" s="201"/>
      <c r="E96" s="201"/>
    </row>
    <row r="97">
      <c r="A97" s="201"/>
      <c r="B97" s="201"/>
      <c r="C97" s="201"/>
      <c r="D97" s="201"/>
      <c r="E97" s="201"/>
    </row>
    <row r="98">
      <c r="A98" s="201"/>
      <c r="B98" s="201"/>
      <c r="C98" s="201"/>
      <c r="D98" s="201"/>
      <c r="E98" s="201"/>
    </row>
    <row r="99">
      <c r="A99" s="201"/>
      <c r="B99" s="201"/>
      <c r="C99" s="201"/>
      <c r="D99" s="201"/>
      <c r="E99" s="201"/>
    </row>
    <row r="100">
      <c r="A100" s="201"/>
      <c r="B100" s="201"/>
      <c r="C100" s="201"/>
      <c r="D100" s="201"/>
      <c r="E100" s="201"/>
    </row>
    <row r="101">
      <c r="A101" s="201"/>
      <c r="B101" s="201"/>
      <c r="C101" s="201"/>
      <c r="D101" s="201"/>
      <c r="E101" s="201"/>
    </row>
    <row r="102">
      <c r="A102" s="201"/>
      <c r="B102" s="201"/>
      <c r="C102" s="201"/>
      <c r="D102" s="201"/>
      <c r="E102" s="201"/>
    </row>
    <row r="103">
      <c r="A103" s="201"/>
      <c r="B103" s="201"/>
      <c r="C103" s="201"/>
      <c r="D103" s="201"/>
      <c r="E103" s="201"/>
    </row>
    <row r="104">
      <c r="A104" s="201"/>
      <c r="B104" s="201"/>
      <c r="C104" s="201"/>
      <c r="D104" s="201"/>
      <c r="E104" s="201"/>
    </row>
    <row r="105">
      <c r="A105" s="201"/>
      <c r="B105" s="201"/>
      <c r="C105" s="201"/>
      <c r="D105" s="201"/>
      <c r="E105" s="201"/>
    </row>
    <row r="106">
      <c r="A106" s="201"/>
      <c r="B106" s="201"/>
      <c r="C106" s="201"/>
      <c r="D106" s="201"/>
      <c r="E106" s="201"/>
    </row>
    <row r="107">
      <c r="A107" s="201"/>
      <c r="B107" s="201"/>
      <c r="C107" s="201"/>
      <c r="D107" s="201"/>
      <c r="E107" s="201"/>
    </row>
    <row r="108">
      <c r="A108" s="201"/>
      <c r="B108" s="201"/>
      <c r="C108" s="201"/>
      <c r="D108" s="201"/>
      <c r="E108" s="201"/>
    </row>
    <row r="109">
      <c r="A109" s="201"/>
      <c r="B109" s="201"/>
      <c r="C109" s="201"/>
      <c r="D109" s="201"/>
      <c r="E109" s="201"/>
    </row>
    <row r="110">
      <c r="A110" s="201"/>
      <c r="B110" s="201"/>
      <c r="C110" s="201"/>
      <c r="D110" s="201"/>
      <c r="E110" s="201"/>
    </row>
    <row r="111">
      <c r="A111" s="201"/>
      <c r="B111" s="201"/>
      <c r="C111" s="201"/>
      <c r="D111" s="201"/>
      <c r="E111" s="201"/>
    </row>
    <row r="112">
      <c r="A112" s="201"/>
      <c r="B112" s="201"/>
      <c r="C112" s="201"/>
      <c r="D112" s="201"/>
      <c r="E112" s="201"/>
    </row>
    <row r="113">
      <c r="A113" s="201"/>
      <c r="B113" s="201"/>
      <c r="C113" s="201"/>
      <c r="D113" s="201"/>
      <c r="E113" s="201"/>
    </row>
    <row r="114">
      <c r="A114" s="201"/>
      <c r="B114" s="201"/>
      <c r="C114" s="201"/>
      <c r="D114" s="201"/>
      <c r="E114" s="201"/>
    </row>
    <row r="115">
      <c r="A115" s="201"/>
      <c r="B115" s="201"/>
      <c r="C115" s="201"/>
      <c r="D115" s="201"/>
      <c r="E115" s="201"/>
    </row>
    <row r="116">
      <c r="A116" s="201"/>
      <c r="B116" s="201"/>
      <c r="C116" s="201"/>
      <c r="D116" s="201"/>
      <c r="E116" s="201"/>
    </row>
    <row r="117">
      <c r="A117" s="201"/>
      <c r="B117" s="201"/>
      <c r="C117" s="201"/>
      <c r="D117" s="201"/>
      <c r="E117" s="201"/>
    </row>
    <row r="118">
      <c r="A118" s="201"/>
      <c r="B118" s="201"/>
      <c r="C118" s="201"/>
      <c r="D118" s="201"/>
      <c r="E118" s="201"/>
    </row>
    <row r="119">
      <c r="A119" s="201"/>
      <c r="B119" s="201"/>
      <c r="C119" s="201"/>
      <c r="D119" s="201"/>
      <c r="E119" s="201"/>
    </row>
    <row r="120">
      <c r="A120" s="201"/>
      <c r="B120" s="201"/>
      <c r="C120" s="201"/>
      <c r="D120" s="201"/>
      <c r="E120" s="201"/>
    </row>
    <row r="121">
      <c r="A121" s="201"/>
      <c r="B121" s="201"/>
      <c r="C121" s="201"/>
      <c r="D121" s="201"/>
      <c r="E121" s="201"/>
    </row>
    <row r="122">
      <c r="A122" s="201"/>
      <c r="B122" s="201"/>
      <c r="C122" s="201"/>
      <c r="D122" s="201"/>
      <c r="E122" s="201"/>
    </row>
    <row r="123">
      <c r="A123" s="201"/>
      <c r="B123" s="201"/>
      <c r="C123" s="201"/>
      <c r="D123" s="201"/>
      <c r="E123" s="201"/>
    </row>
    <row r="124">
      <c r="A124" s="201"/>
      <c r="B124" s="201"/>
      <c r="C124" s="201"/>
      <c r="D124" s="201"/>
      <c r="E124" s="201"/>
    </row>
    <row r="125">
      <c r="A125" s="201"/>
      <c r="B125" s="201"/>
      <c r="C125" s="201"/>
      <c r="D125" s="201"/>
      <c r="E125" s="201"/>
    </row>
    <row r="126">
      <c r="A126" s="201"/>
      <c r="B126" s="201"/>
      <c r="C126" s="201"/>
      <c r="D126" s="201"/>
      <c r="E126" s="201"/>
    </row>
    <row r="127">
      <c r="A127" s="201"/>
      <c r="B127" s="201"/>
      <c r="C127" s="201"/>
      <c r="D127" s="201"/>
      <c r="E127" s="201"/>
    </row>
    <row r="128">
      <c r="A128" s="201"/>
      <c r="B128" s="201"/>
      <c r="C128" s="201"/>
      <c r="D128" s="201"/>
      <c r="E128" s="201"/>
    </row>
    <row r="129">
      <c r="A129" s="201"/>
      <c r="B129" s="201"/>
      <c r="C129" s="201"/>
      <c r="D129" s="201"/>
      <c r="E129" s="201"/>
    </row>
    <row r="130">
      <c r="A130" s="201"/>
      <c r="B130" s="201"/>
      <c r="C130" s="201"/>
      <c r="D130" s="201"/>
      <c r="E130" s="201"/>
    </row>
    <row r="131">
      <c r="A131" s="201"/>
      <c r="B131" s="201"/>
      <c r="C131" s="201"/>
      <c r="D131" s="201"/>
      <c r="E131" s="201"/>
    </row>
    <row r="132">
      <c r="A132" s="201"/>
      <c r="B132" s="201"/>
      <c r="C132" s="201"/>
      <c r="D132" s="201"/>
      <c r="E132" s="201"/>
    </row>
    <row r="133">
      <c r="A133" s="201"/>
      <c r="B133" s="201"/>
      <c r="C133" s="201"/>
      <c r="D133" s="201"/>
      <c r="E133" s="201"/>
    </row>
    <row r="134">
      <c r="A134" s="201"/>
      <c r="B134" s="201"/>
      <c r="C134" s="201"/>
      <c r="D134" s="201"/>
      <c r="E134" s="201"/>
    </row>
    <row r="135">
      <c r="A135" s="201"/>
      <c r="B135" s="201"/>
      <c r="C135" s="201"/>
      <c r="D135" s="201"/>
      <c r="E135" s="201"/>
    </row>
    <row r="136">
      <c r="A136" s="201"/>
      <c r="B136" s="201"/>
      <c r="C136" s="201"/>
      <c r="D136" s="201"/>
      <c r="E136" s="201"/>
    </row>
    <row r="137">
      <c r="A137" s="201"/>
      <c r="B137" s="201"/>
      <c r="C137" s="201"/>
      <c r="D137" s="201"/>
      <c r="E137" s="201"/>
    </row>
    <row r="138">
      <c r="A138" s="201"/>
      <c r="B138" s="201"/>
      <c r="C138" s="201"/>
      <c r="D138" s="201"/>
      <c r="E138" s="201"/>
    </row>
    <row r="139">
      <c r="A139" s="201"/>
      <c r="B139" s="201"/>
      <c r="C139" s="201"/>
      <c r="D139" s="201"/>
      <c r="E139" s="201"/>
    </row>
    <row r="140">
      <c r="A140" s="201"/>
      <c r="B140" s="201"/>
      <c r="C140" s="201"/>
      <c r="D140" s="201"/>
      <c r="E140" s="201"/>
    </row>
    <row r="141">
      <c r="A141" s="201"/>
      <c r="B141" s="201"/>
      <c r="C141" s="201"/>
      <c r="D141" s="201"/>
      <c r="E141" s="201"/>
    </row>
    <row r="142">
      <c r="A142" s="201"/>
      <c r="B142" s="201"/>
      <c r="C142" s="201"/>
      <c r="D142" s="201"/>
      <c r="E142" s="201"/>
    </row>
    <row r="143">
      <c r="A143" s="201"/>
      <c r="B143" s="201"/>
      <c r="C143" s="201"/>
      <c r="D143" s="201"/>
      <c r="E143" s="201"/>
    </row>
    <row r="144">
      <c r="A144" s="201"/>
      <c r="B144" s="201"/>
      <c r="C144" s="201"/>
      <c r="D144" s="201"/>
      <c r="E144" s="201"/>
    </row>
    <row r="145">
      <c r="A145" s="201"/>
      <c r="B145" s="201"/>
      <c r="C145" s="201"/>
      <c r="D145" s="201"/>
      <c r="E145" s="201"/>
    </row>
    <row r="146">
      <c r="A146" s="201"/>
      <c r="B146" s="201"/>
      <c r="C146" s="201"/>
      <c r="D146" s="201"/>
      <c r="E146" s="201"/>
    </row>
    <row r="147">
      <c r="A147" s="201"/>
      <c r="B147" s="201"/>
      <c r="C147" s="201"/>
      <c r="D147" s="201"/>
      <c r="E147" s="201"/>
    </row>
    <row r="148">
      <c r="A148" s="201"/>
      <c r="B148" s="201"/>
      <c r="C148" s="201"/>
      <c r="D148" s="201"/>
      <c r="E148" s="201"/>
    </row>
    <row r="149">
      <c r="A149" s="201"/>
      <c r="B149" s="201"/>
      <c r="C149" s="201"/>
      <c r="D149" s="201"/>
      <c r="E149" s="201"/>
    </row>
    <row r="150">
      <c r="A150" s="201"/>
      <c r="B150" s="201"/>
      <c r="C150" s="201"/>
      <c r="D150" s="201"/>
      <c r="E150" s="201"/>
    </row>
    <row r="151">
      <c r="A151" s="201"/>
      <c r="B151" s="201"/>
      <c r="C151" s="201"/>
      <c r="D151" s="201"/>
      <c r="E151" s="201"/>
    </row>
    <row r="152">
      <c r="A152" s="201"/>
      <c r="B152" s="201"/>
      <c r="C152" s="201"/>
      <c r="D152" s="201"/>
      <c r="E152" s="201"/>
    </row>
    <row r="153">
      <c r="A153" s="201"/>
      <c r="B153" s="201"/>
      <c r="C153" s="201"/>
      <c r="D153" s="201"/>
      <c r="E153" s="201"/>
    </row>
    <row r="154">
      <c r="A154" s="201"/>
      <c r="B154" s="201"/>
      <c r="C154" s="201"/>
      <c r="D154" s="201"/>
      <c r="E154" s="201"/>
    </row>
    <row r="155">
      <c r="A155" s="201"/>
      <c r="B155" s="201"/>
      <c r="C155" s="201"/>
      <c r="D155" s="201"/>
      <c r="E155" s="201"/>
    </row>
    <row r="156">
      <c r="A156" s="201"/>
      <c r="B156" s="201"/>
      <c r="C156" s="201"/>
      <c r="D156" s="201"/>
      <c r="E156" s="201"/>
    </row>
    <row r="157">
      <c r="A157" s="201"/>
      <c r="B157" s="201"/>
      <c r="C157" s="201"/>
      <c r="D157" s="201"/>
      <c r="E157" s="201"/>
    </row>
    <row r="158">
      <c r="A158" s="201"/>
      <c r="B158" s="201"/>
      <c r="C158" s="201"/>
      <c r="D158" s="201"/>
      <c r="E158" s="201"/>
    </row>
    <row r="159">
      <c r="A159" s="201"/>
      <c r="B159" s="201"/>
      <c r="C159" s="201"/>
      <c r="D159" s="201"/>
      <c r="E159" s="201"/>
    </row>
    <row r="160">
      <c r="A160" s="201"/>
      <c r="B160" s="201"/>
      <c r="C160" s="201"/>
      <c r="D160" s="201"/>
      <c r="E160" s="201"/>
    </row>
    <row r="161">
      <c r="A161" s="201"/>
      <c r="B161" s="201"/>
      <c r="C161" s="201"/>
      <c r="D161" s="201"/>
      <c r="E161" s="201"/>
    </row>
    <row r="162">
      <c r="A162" s="201"/>
      <c r="B162" s="201"/>
      <c r="C162" s="201"/>
      <c r="D162" s="201"/>
      <c r="E162" s="201"/>
    </row>
    <row r="163">
      <c r="A163" s="201"/>
      <c r="B163" s="201"/>
      <c r="C163" s="201"/>
      <c r="D163" s="201"/>
      <c r="E163" s="201"/>
    </row>
    <row r="164">
      <c r="A164" s="201"/>
      <c r="B164" s="201"/>
      <c r="C164" s="201"/>
      <c r="D164" s="201"/>
      <c r="E164" s="201"/>
    </row>
    <row r="165">
      <c r="A165" s="201"/>
      <c r="B165" s="201"/>
      <c r="C165" s="201"/>
      <c r="D165" s="201"/>
      <c r="E165" s="201"/>
    </row>
    <row r="166">
      <c r="A166" s="201"/>
      <c r="B166" s="201"/>
      <c r="C166" s="201"/>
      <c r="D166" s="201"/>
      <c r="E166" s="201"/>
    </row>
    <row r="167">
      <c r="A167" s="201"/>
      <c r="B167" s="201"/>
      <c r="C167" s="201"/>
      <c r="D167" s="201"/>
      <c r="E167" s="201"/>
    </row>
    <row r="168">
      <c r="A168" s="201"/>
      <c r="B168" s="201"/>
      <c r="C168" s="201"/>
      <c r="D168" s="201"/>
      <c r="E168" s="201"/>
    </row>
    <row r="169">
      <c r="A169" s="201"/>
      <c r="B169" s="201"/>
      <c r="C169" s="201"/>
      <c r="D169" s="201"/>
      <c r="E169" s="201"/>
    </row>
    <row r="170">
      <c r="A170" s="201"/>
      <c r="B170" s="201"/>
      <c r="C170" s="201"/>
      <c r="D170" s="201"/>
      <c r="E170" s="201"/>
    </row>
    <row r="171">
      <c r="A171" s="201"/>
      <c r="B171" s="201"/>
      <c r="C171" s="201"/>
      <c r="D171" s="201"/>
      <c r="E171" s="201"/>
    </row>
    <row r="172">
      <c r="A172" s="201"/>
      <c r="B172" s="201"/>
      <c r="C172" s="201"/>
      <c r="D172" s="201"/>
      <c r="E172" s="201"/>
    </row>
    <row r="173">
      <c r="A173" s="201"/>
      <c r="B173" s="201"/>
      <c r="C173" s="201"/>
      <c r="D173" s="201"/>
      <c r="E173" s="201"/>
    </row>
    <row r="174">
      <c r="A174" s="201"/>
      <c r="B174" s="201"/>
      <c r="C174" s="201"/>
      <c r="D174" s="201"/>
      <c r="E174" s="201"/>
    </row>
    <row r="175">
      <c r="A175" s="201"/>
      <c r="B175" s="201"/>
      <c r="C175" s="201"/>
      <c r="D175" s="201"/>
      <c r="E175" s="201"/>
    </row>
    <row r="176">
      <c r="A176" s="201"/>
      <c r="B176" s="201"/>
      <c r="C176" s="201"/>
      <c r="D176" s="201"/>
      <c r="E176" s="201"/>
    </row>
    <row r="177">
      <c r="A177" s="201"/>
      <c r="B177" s="201"/>
      <c r="C177" s="201"/>
      <c r="D177" s="201"/>
      <c r="E177" s="201"/>
    </row>
    <row r="178">
      <c r="A178" s="201"/>
      <c r="B178" s="201"/>
      <c r="C178" s="201"/>
      <c r="D178" s="201"/>
      <c r="E178" s="201"/>
    </row>
    <row r="179">
      <c r="A179" s="201"/>
      <c r="B179" s="201"/>
      <c r="C179" s="201"/>
      <c r="D179" s="201"/>
      <c r="E179" s="201"/>
    </row>
    <row r="180">
      <c r="A180" s="201"/>
      <c r="B180" s="201"/>
      <c r="C180" s="201"/>
      <c r="D180" s="201"/>
      <c r="E180" s="201"/>
    </row>
    <row r="181">
      <c r="A181" s="201"/>
      <c r="B181" s="201"/>
      <c r="C181" s="201"/>
      <c r="D181" s="201"/>
      <c r="E181" s="201"/>
    </row>
    <row r="182">
      <c r="A182" s="201"/>
      <c r="B182" s="201"/>
      <c r="C182" s="201"/>
      <c r="D182" s="201"/>
      <c r="E182" s="201"/>
    </row>
    <row r="183">
      <c r="A183" s="201"/>
      <c r="B183" s="201"/>
      <c r="C183" s="201"/>
      <c r="D183" s="201"/>
      <c r="E183" s="201"/>
    </row>
    <row r="184">
      <c r="A184" s="201"/>
      <c r="B184" s="201"/>
      <c r="C184" s="201"/>
      <c r="D184" s="201"/>
      <c r="E184" s="201"/>
    </row>
    <row r="185">
      <c r="A185" s="201"/>
      <c r="B185" s="201"/>
      <c r="C185" s="201"/>
      <c r="D185" s="201"/>
      <c r="E185" s="201"/>
    </row>
    <row r="186">
      <c r="A186" s="201"/>
      <c r="B186" s="201"/>
      <c r="C186" s="201"/>
      <c r="D186" s="201"/>
      <c r="E186" s="201"/>
    </row>
    <row r="187">
      <c r="A187" s="201"/>
      <c r="B187" s="201"/>
      <c r="C187" s="201"/>
      <c r="D187" s="201"/>
      <c r="E187" s="201"/>
    </row>
    <row r="188">
      <c r="A188" s="201"/>
      <c r="B188" s="201"/>
      <c r="C188" s="201"/>
      <c r="D188" s="201"/>
      <c r="E188" s="201"/>
    </row>
    <row r="189">
      <c r="A189" s="201"/>
      <c r="B189" s="201"/>
      <c r="C189" s="201"/>
      <c r="D189" s="201"/>
      <c r="E189" s="201"/>
    </row>
    <row r="190">
      <c r="A190" s="201"/>
      <c r="B190" s="201"/>
      <c r="C190" s="201"/>
      <c r="D190" s="201"/>
      <c r="E190" s="201"/>
    </row>
    <row r="191">
      <c r="A191" s="201"/>
      <c r="B191" s="201"/>
      <c r="C191" s="201"/>
      <c r="D191" s="201"/>
      <c r="E191" s="201"/>
    </row>
    <row r="192">
      <c r="A192" s="201"/>
      <c r="B192" s="201"/>
      <c r="C192" s="201"/>
      <c r="D192" s="201"/>
      <c r="E192" s="201"/>
    </row>
    <row r="193">
      <c r="A193" s="201"/>
      <c r="B193" s="201"/>
      <c r="C193" s="201"/>
      <c r="D193" s="201"/>
      <c r="E193" s="201"/>
    </row>
    <row r="194">
      <c r="A194" s="201"/>
      <c r="B194" s="201"/>
      <c r="C194" s="201"/>
      <c r="D194" s="201"/>
      <c r="E194" s="201"/>
    </row>
    <row r="195">
      <c r="A195" s="201"/>
      <c r="B195" s="201"/>
      <c r="C195" s="201"/>
      <c r="D195" s="201"/>
      <c r="E195" s="201"/>
    </row>
    <row r="196">
      <c r="A196" s="201"/>
      <c r="B196" s="201"/>
      <c r="C196" s="201"/>
      <c r="D196" s="201"/>
      <c r="E196" s="201"/>
    </row>
    <row r="197">
      <c r="A197" s="201"/>
      <c r="B197" s="201"/>
      <c r="C197" s="201"/>
      <c r="D197" s="201"/>
      <c r="E197" s="201"/>
    </row>
    <row r="198">
      <c r="A198" s="201"/>
      <c r="B198" s="201"/>
      <c r="C198" s="201"/>
      <c r="D198" s="201"/>
      <c r="E198" s="201"/>
    </row>
    <row r="199">
      <c r="A199" s="201"/>
      <c r="B199" s="201"/>
      <c r="C199" s="201"/>
      <c r="D199" s="201"/>
      <c r="E199" s="201"/>
    </row>
    <row r="200">
      <c r="A200" s="201"/>
      <c r="B200" s="201"/>
      <c r="C200" s="201"/>
      <c r="D200" s="201"/>
      <c r="E200" s="201"/>
    </row>
  </sheetData>
  <pageMargins bottom="1" footer="0.5" header="0.5" left="0.75" right="0.75" top="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6"/>
  <cols>
    <col collapsed="false" customWidth="true" hidden="false" max="21" min="21" style="0" width="11"/>
    <col collapsed="false" customWidth="true" hidden="false" max="25" min="25" style="0" width="8"/>
    <col collapsed="false" customWidth="true" hidden="false" max="9" min="9" style="0" width="13"/>
    <col collapsed="false" customWidth="true" hidden="false" max="13" min="13" style="0" width="7"/>
    <col collapsed="false" customWidth="true" hidden="false" max="17" min="17" style="0" width="7"/>
    <col collapsed="false" customWidth="true" hidden="false" max="20" min="20" style="0" width="11"/>
    <col collapsed="false" customWidth="true" hidden="false" max="24" min="24" style="0" width="11"/>
    <col collapsed="false" customWidth="true" hidden="false" max="8" min="8" style="0" width="30"/>
    <col collapsed="false" customWidth="true" hidden="false" max="12" min="12" style="0" width="7"/>
    <col collapsed="false" customWidth="true" hidden="false" max="16" min="16" style="0" width="7"/>
    <col collapsed="false" customWidth="true" hidden="false" max="19" min="19" style="0" width="11"/>
    <col collapsed="false" customWidth="true" hidden="false" max="23" min="23" style="0" width="11"/>
    <col collapsed="false" customWidth="true" hidden="false" max="7" min="7" style="0" width="11"/>
    <col collapsed="false" customWidth="true" hidden="false" max="11" min="11" style="0" width="7"/>
    <col collapsed="false" customWidth="true" hidden="false" max="15" min="15" style="0" width="7"/>
    <col collapsed="false" customWidth="true" hidden="false" max="22" min="22" style="0" width="11"/>
    <col collapsed="false" customWidth="true" hidden="false" max="10" min="10" style="0" width="7"/>
    <col collapsed="false" customWidth="true" hidden="false" max="14" min="14" style="0" width="7"/>
    <col collapsed="false" customWidth="true" hidden="false" max="18" min="18" style="0" width="11"/>
  </cols>
  <sheetData>
    <row customHeight="true" ht="13" r="1">
      <c r="B1" s="202" t="s">
        <v>419</v>
      </c>
      <c r="C1" s="202" t="s">
        <v>420</v>
      </c>
      <c r="D1" s="202" t="s">
        <v>421</v>
      </c>
      <c r="E1" s="202" t="s">
        <v>422</v>
      </c>
      <c r="F1" s="202" t="s">
        <v>423</v>
      </c>
      <c r="G1" s="203" t="s">
        <v>424</v>
      </c>
      <c r="H1" s="202" t="s">
        <v>425</v>
      </c>
      <c r="I1" s="204" t="s">
        <v>426</v>
      </c>
      <c r="J1" s="204" t="s">
        <v>427</v>
      </c>
      <c r="K1" s="205" t="s">
        <v>428</v>
      </c>
      <c r="L1" s="205" t="s">
        <v>429</v>
      </c>
      <c r="M1" s="205" t="s">
        <v>430</v>
      </c>
      <c r="N1" s="206" t="s">
        <v>431</v>
      </c>
      <c r="O1" s="206" t="s">
        <v>432</v>
      </c>
      <c r="P1" s="206" t="s">
        <v>433</v>
      </c>
      <c r="Q1" s="206" t="s">
        <v>434</v>
      </c>
      <c r="R1" s="207" t="s">
        <v>435</v>
      </c>
      <c r="S1" s="207" t="s">
        <v>436</v>
      </c>
      <c r="T1" s="208" t="s">
        <v>437</v>
      </c>
      <c r="U1" s="208" t="s">
        <v>438</v>
      </c>
      <c r="V1" s="208" t="s">
        <v>439</v>
      </c>
      <c r="W1" s="208" t="s">
        <v>440</v>
      </c>
      <c r="X1" s="208" t="s">
        <v>441</v>
      </c>
      <c r="Y1" s="202" t="s">
        <v>442</v>
      </c>
      <c r="Z1" s="202" t="s">
        <v>443</v>
      </c>
      <c r="AA1" s="202" t="s">
        <v>444</v>
      </c>
      <c r="AB1" s="202" t="s">
        <v>445</v>
      </c>
      <c r="AC1" s="202" t="s">
        <v>446</v>
      </c>
      <c r="AD1" s="202" t="s">
        <v>447</v>
      </c>
      <c r="AE1" s="202" t="s">
        <v>448</v>
      </c>
      <c r="AF1" s="202" t="s">
        <v>449</v>
      </c>
      <c r="AG1" s="202" t="s">
        <v>450</v>
      </c>
      <c r="AH1" s="202" t="s">
        <v>451</v>
      </c>
    </row>
    <row customHeight="true" ht="13" r="2">
      <c r="A2" cm="1">
        <f t="array" ref="A2:A2">_xlfn.XLOOKUP(H2,'历史月度销量'!C:C,'历史月度销量'!C:C)</f>
      </c>
      <c r="B2" s="209" t="s">
        <v>452</v>
      </c>
      <c r="C2" s="209" t="s">
        <v>453</v>
      </c>
      <c r="D2" s="209" t="s">
        <v>454</v>
      </c>
      <c r="E2" s="209" t="s">
        <v>455</v>
      </c>
      <c r="F2" s="209" t="s">
        <v>456</v>
      </c>
      <c r="G2" s="210" t="s">
        <v>457</v>
      </c>
      <c r="H2" s="211" t="s">
        <v>458</v>
      </c>
      <c r="I2" s="209" t="s">
        <v>459</v>
      </c>
      <c r="J2" s="209">
        <v>1</v>
      </c>
      <c r="K2" s="212" t="s">
        <v>460</v>
      </c>
      <c r="L2" s="212" t="s">
        <v>461</v>
      </c>
      <c r="M2" s="213" t="s">
        <v>462</v>
      </c>
      <c r="N2" s="214" t="s">
        <v>463</v>
      </c>
      <c r="O2" s="209">
        <v>118986</v>
      </c>
      <c r="P2" s="215">
        <v>0.728564828611022</v>
      </c>
      <c r="Q2" s="209">
        <v>205675.014697111</v>
      </c>
      <c r="R2" s="216">
        <v>3463</v>
      </c>
      <c r="S2" s="216">
        <v>6157</v>
      </c>
      <c r="T2" s="217">
        <v>13269</v>
      </c>
      <c r="U2" s="217">
        <v>15636</v>
      </c>
      <c r="V2" s="216">
        <v>20137</v>
      </c>
      <c r="W2" s="216">
        <v>19707</v>
      </c>
      <c r="X2" s="216">
        <f>IFERROR(_xlfn.XLOOKUP(G:G,'[1]Sheet1'!$F:$F,'[1]Sheet1'!$AJ:$AJ),9962)</f>
      </c>
      <c r="Y2" s="216">
        <v>16500</v>
      </c>
      <c r="Z2" s="216">
        <v>13000</v>
      </c>
      <c r="AA2" s="216">
        <v>7800</v>
      </c>
      <c r="AB2" s="216">
        <v>6000</v>
      </c>
      <c r="AC2" s="216">
        <v>3800</v>
      </c>
      <c r="AD2" s="218">
        <v>3000</v>
      </c>
      <c r="AE2" s="219">
        <v>4200</v>
      </c>
      <c r="AF2" s="216">
        <v>5500</v>
      </c>
      <c r="AG2" s="217">
        <v>13300</v>
      </c>
      <c r="AH2" s="218"/>
    </row>
    <row customHeight="true" ht="13" r="3">
      <c r="A3" cm="1">
        <f t="array" ref="A3:A3">_xlfn.XLOOKUP(H3,'历史月度销量'!C:C,'历史月度销量'!C:C)</f>
      </c>
      <c r="B3" s="209" t="s">
        <v>452</v>
      </c>
      <c r="C3" s="209" t="s">
        <v>453</v>
      </c>
      <c r="D3" s="209" t="s">
        <v>454</v>
      </c>
      <c r="E3" s="209" t="s">
        <v>455</v>
      </c>
      <c r="F3" s="209" t="s">
        <v>456</v>
      </c>
      <c r="G3" s="210" t="s">
        <v>464</v>
      </c>
      <c r="H3" s="211" t="s">
        <v>465</v>
      </c>
      <c r="I3" s="220" t="s">
        <v>466</v>
      </c>
      <c r="J3" s="220">
        <v>3</v>
      </c>
      <c r="K3" s="221" t="s">
        <v>467</v>
      </c>
      <c r="L3" s="221" t="s">
        <v>468</v>
      </c>
      <c r="M3" s="214" t="s">
        <v>462</v>
      </c>
      <c r="N3" s="214" t="s">
        <v>463</v>
      </c>
      <c r="O3" s="209">
        <v>94858</v>
      </c>
      <c r="P3" s="215">
        <v>0.772864639668054</v>
      </c>
      <c r="Q3" s="209">
        <v>168170.393989632</v>
      </c>
      <c r="R3" s="216">
        <v>1954</v>
      </c>
      <c r="S3" s="216">
        <v>3518</v>
      </c>
      <c r="T3" s="216">
        <v>9126</v>
      </c>
      <c r="U3" s="216">
        <v>12488</v>
      </c>
      <c r="V3" s="216">
        <v>20089</v>
      </c>
      <c r="W3" s="216">
        <v>21889</v>
      </c>
      <c r="X3" s="216">
        <f>IFERROR(_xlfn.XLOOKUP(G:G,'[1]Sheet1'!$F:$F,'[1]Sheet1'!$AJ:$AJ),8231)</f>
      </c>
      <c r="Y3" s="216">
        <v>14000</v>
      </c>
      <c r="Z3" s="216">
        <v>9000</v>
      </c>
      <c r="AA3" s="216">
        <v>5500</v>
      </c>
      <c r="AB3" s="216">
        <v>3500</v>
      </c>
      <c r="AC3" s="216">
        <v>1850</v>
      </c>
      <c r="AD3" s="222">
        <v>1250</v>
      </c>
      <c r="AE3" s="219">
        <v>2000</v>
      </c>
      <c r="AF3" s="216">
        <v>3500</v>
      </c>
      <c r="AG3" s="216">
        <v>7500</v>
      </c>
      <c r="AH3" s="222"/>
    </row>
    <row customHeight="true" ht="13" r="4">
      <c r="A4" cm="1">
        <f t="array" ref="A4:A4">_xlfn.XLOOKUP(H4,'历史月度销量'!C:C,'历史月度销量'!C:C)</f>
      </c>
      <c r="B4" s="209" t="s">
        <v>452</v>
      </c>
      <c r="C4" s="209" t="s">
        <v>453</v>
      </c>
      <c r="D4" s="209" t="s">
        <v>469</v>
      </c>
      <c r="E4" s="209" t="s">
        <v>455</v>
      </c>
      <c r="F4" s="209" t="s">
        <v>456</v>
      </c>
      <c r="G4" s="210" t="s">
        <v>470</v>
      </c>
      <c r="H4" s="211" t="s">
        <v>471</v>
      </c>
      <c r="I4" s="209" t="s">
        <v>472</v>
      </c>
      <c r="J4" s="209">
        <v>5</v>
      </c>
      <c r="K4" s="209" t="s">
        <v>473</v>
      </c>
      <c r="L4" s="223" t="s">
        <v>474</v>
      </c>
      <c r="M4" s="214" t="s">
        <v>462</v>
      </c>
      <c r="N4" s="214" t="s">
        <v>463</v>
      </c>
      <c r="O4" s="209">
        <v>52522</v>
      </c>
      <c r="P4" s="215">
        <v>0.591293977700461</v>
      </c>
      <c r="Q4" s="209">
        <v>83577.9422967836</v>
      </c>
      <c r="R4" s="216">
        <v>1007</v>
      </c>
      <c r="S4" s="216">
        <v>2460</v>
      </c>
      <c r="T4" s="216">
        <v>5726</v>
      </c>
      <c r="U4" s="216">
        <v>6175</v>
      </c>
      <c r="V4" s="216">
        <v>8181</v>
      </c>
      <c r="W4" s="216">
        <v>9323</v>
      </c>
      <c r="X4" s="216">
        <f>IFERROR(_xlfn.XLOOKUP(G:G,'[1]Sheet1'!$F:$F,'[1]Sheet1'!$AJ:$AJ),5836)</f>
      </c>
      <c r="Y4" s="216">
        <v>7200</v>
      </c>
      <c r="Z4" s="216">
        <v>4000</v>
      </c>
      <c r="AA4" s="216">
        <v>2400</v>
      </c>
      <c r="AB4" s="216">
        <v>2100</v>
      </c>
      <c r="AC4" s="216">
        <v>1100</v>
      </c>
      <c r="AD4" s="222">
        <v>900</v>
      </c>
      <c r="AE4" s="222">
        <v>1200</v>
      </c>
      <c r="AF4" s="222">
        <v>2500</v>
      </c>
      <c r="AG4" s="222">
        <v>4800</v>
      </c>
      <c r="AH4" s="222"/>
    </row>
    <row customHeight="true" ht="13" r="5">
      <c r="A5" cm="1">
        <f t="array" ref="A5:A5">_xlfn.XLOOKUP(H5,'历史月度销量'!C:C,'历史月度销量'!C:C)</f>
      </c>
      <c r="B5" s="209" t="s">
        <v>452</v>
      </c>
      <c r="C5" s="209" t="s">
        <v>453</v>
      </c>
      <c r="D5" s="209" t="s">
        <v>469</v>
      </c>
      <c r="E5" s="209" t="s">
        <v>455</v>
      </c>
      <c r="F5" s="209" t="s">
        <v>456</v>
      </c>
      <c r="G5" s="210" t="s">
        <v>475</v>
      </c>
      <c r="H5" s="211" t="s">
        <v>476</v>
      </c>
      <c r="I5" s="209" t="s">
        <v>477</v>
      </c>
      <c r="J5" s="209">
        <v>10</v>
      </c>
      <c r="K5" s="209" t="s">
        <v>478</v>
      </c>
      <c r="L5" s="223" t="s">
        <v>479</v>
      </c>
      <c r="M5" s="214" t="s">
        <v>462</v>
      </c>
      <c r="N5" s="214" t="s">
        <v>463</v>
      </c>
      <c r="O5" s="209">
        <v>36559</v>
      </c>
      <c r="P5" s="215">
        <v>0.680194946960817</v>
      </c>
      <c r="Q5" s="209">
        <v>61426.2470659405</v>
      </c>
      <c r="R5" s="216">
        <v>695</v>
      </c>
      <c r="S5" s="216">
        <v>911</v>
      </c>
      <c r="T5" s="217">
        <v>3282</v>
      </c>
      <c r="U5" s="217">
        <v>4188</v>
      </c>
      <c r="V5" s="216">
        <v>7212</v>
      </c>
      <c r="W5" s="216">
        <v>7492</v>
      </c>
      <c r="X5" s="216">
        <f>IFERROR(_xlfn.XLOOKUP(G:G,'[1]Sheet1'!$F:$F,'[1]Sheet1'!$AJ:$AJ),4582)</f>
      </c>
      <c r="Y5" s="216">
        <v>5700</v>
      </c>
      <c r="Z5" s="216">
        <v>3300</v>
      </c>
      <c r="AA5" s="216">
        <v>1900</v>
      </c>
      <c r="AB5" s="216">
        <v>1500</v>
      </c>
      <c r="AC5" s="216">
        <v>1000</v>
      </c>
      <c r="AD5" s="218">
        <v>500</v>
      </c>
      <c r="AE5" s="218">
        <v>650</v>
      </c>
      <c r="AF5" s="218">
        <v>900</v>
      </c>
      <c r="AG5" s="218">
        <v>2700</v>
      </c>
      <c r="AH5" s="218"/>
    </row>
    <row customHeight="true" ht="13" r="6">
      <c r="A6" cm="1">
        <f t="array" ref="A6:A6">_xlfn.XLOOKUP(H6,'历史月度销量'!C:C,'历史月度销量'!C:C)</f>
      </c>
      <c r="B6" s="209" t="s">
        <v>452</v>
      </c>
      <c r="C6" s="209" t="s">
        <v>453</v>
      </c>
      <c r="D6" s="209" t="s">
        <v>480</v>
      </c>
      <c r="E6" s="209" t="s">
        <v>455</v>
      </c>
      <c r="F6" s="209" t="s">
        <v>456</v>
      </c>
      <c r="G6" s="210" t="s">
        <v>481</v>
      </c>
      <c r="H6" s="211" t="s">
        <v>482</v>
      </c>
      <c r="I6" s="209" t="s">
        <v>481</v>
      </c>
      <c r="J6" s="209">
        <v>50</v>
      </c>
      <c r="K6" s="209" t="s">
        <v>483</v>
      </c>
      <c r="L6" s="212" t="s">
        <v>484</v>
      </c>
      <c r="M6" s="213" t="s">
        <v>462</v>
      </c>
      <c r="N6" s="214" t="s">
        <v>463</v>
      </c>
      <c r="O6" s="209">
        <v>13861</v>
      </c>
      <c r="P6" s="215">
        <v>-0.00154299696138032</v>
      </c>
      <c r="Q6" s="209">
        <v>13839.6125191183</v>
      </c>
      <c r="R6" s="216">
        <v>32</v>
      </c>
      <c r="S6" s="216">
        <v>44</v>
      </c>
      <c r="T6" s="224">
        <v>1058</v>
      </c>
      <c r="U6" s="217">
        <v>1599</v>
      </c>
      <c r="V6" s="216">
        <v>1951</v>
      </c>
      <c r="W6" s="216">
        <v>1352</v>
      </c>
      <c r="X6" s="216">
        <f>IFERROR(_xlfn.XLOOKUP(G:G,'[1]Sheet1'!$F:$F,'[1]Sheet1'!$AJ:$AJ),1079)</f>
      </c>
      <c r="Y6" s="216">
        <v>800</v>
      </c>
      <c r="Z6" s="216"/>
      <c r="AA6" s="216"/>
      <c r="AB6" s="216"/>
      <c r="AC6" s="216"/>
      <c r="AD6" s="222"/>
      <c r="AE6" s="222"/>
      <c r="AF6" s="222"/>
      <c r="AG6" s="222">
        <v>900</v>
      </c>
      <c r="AH6" s="222"/>
    </row>
    <row customHeight="true" ht="13" r="7">
      <c r="A7" cm="1">
        <f t="array" ref="A7:A7">_xlfn.XLOOKUP(H7,'历史月度销量'!C:C,'历史月度销量'!C:C)</f>
      </c>
      <c r="B7" s="209" t="s">
        <v>452</v>
      </c>
      <c r="C7" s="209" t="s">
        <v>453</v>
      </c>
      <c r="D7" s="209" t="s">
        <v>480</v>
      </c>
      <c r="E7" s="209" t="s">
        <v>455</v>
      </c>
      <c r="F7" s="209" t="s">
        <v>456</v>
      </c>
      <c r="G7" s="210" t="s">
        <v>485</v>
      </c>
      <c r="H7" s="211" t="s">
        <v>486</v>
      </c>
      <c r="I7" s="209" t="s">
        <v>485</v>
      </c>
      <c r="J7" s="209">
        <v>25</v>
      </c>
      <c r="K7" s="209" t="s">
        <v>487</v>
      </c>
      <c r="L7" s="212" t="s">
        <v>488</v>
      </c>
      <c r="M7" s="213" t="s">
        <v>462</v>
      </c>
      <c r="N7" s="214" t="s">
        <v>463</v>
      </c>
      <c r="O7" s="209">
        <v>18062</v>
      </c>
      <c r="P7" s="215">
        <v>0.073464530678248</v>
      </c>
      <c r="Q7" s="223">
        <v>19388.9163531105</v>
      </c>
      <c r="R7" s="212">
        <v>57</v>
      </c>
      <c r="S7" s="212">
        <v>117</v>
      </c>
      <c r="T7" s="225">
        <v>1156</v>
      </c>
      <c r="U7" s="219">
        <v>2046</v>
      </c>
      <c r="V7" s="216">
        <v>3105</v>
      </c>
      <c r="W7" s="216">
        <v>2693</v>
      </c>
      <c r="X7" s="216">
        <f>IFERROR(_xlfn.XLOOKUP(G:G,'[1]Sheet1'!$F:$F,'[1]Sheet1'!$AJ:$AJ),1481)</f>
      </c>
      <c r="Y7" s="216">
        <v>900</v>
      </c>
      <c r="Z7" s="216"/>
      <c r="AA7" s="216"/>
      <c r="AB7" s="216"/>
      <c r="AC7" s="216"/>
      <c r="AD7" s="222"/>
      <c r="AE7" s="222"/>
      <c r="AF7" s="222"/>
      <c r="AG7" s="225">
        <v>1035</v>
      </c>
      <c r="AH7" s="222"/>
    </row>
    <row customHeight="true" ht="13" r="8">
      <c r="A8" cm="1">
        <f t="array" ref="A8:A8">_xlfn.XLOOKUP(H8,'历史月度销量'!C:C,'历史月度销量'!C:C)</f>
      </c>
      <c r="B8" s="209" t="s">
        <v>452</v>
      </c>
      <c r="C8" s="209" t="s">
        <v>453</v>
      </c>
      <c r="D8" s="209" t="s">
        <v>454</v>
      </c>
      <c r="E8" s="209" t="s">
        <v>455</v>
      </c>
      <c r="F8" s="209" t="s">
        <v>456</v>
      </c>
      <c r="G8" s="226" t="s">
        <v>489</v>
      </c>
      <c r="H8" s="209" t="s">
        <v>490</v>
      </c>
      <c r="I8" s="209" t="s">
        <v>489</v>
      </c>
      <c r="J8" s="209">
        <v>50</v>
      </c>
      <c r="K8" s="209" t="s">
        <v>491</v>
      </c>
      <c r="L8" s="221" t="s">
        <v>484</v>
      </c>
      <c r="M8" s="214" t="s">
        <v>492</v>
      </c>
      <c r="N8" s="214" t="s">
        <v>463</v>
      </c>
      <c r="O8" s="209">
        <v>7746</v>
      </c>
      <c r="P8" s="227">
        <v>0.725937358257031</v>
      </c>
      <c r="Q8" s="209">
        <v>13369.110777059</v>
      </c>
      <c r="R8" s="216"/>
      <c r="S8" s="216"/>
      <c r="T8" s="224">
        <v>723</v>
      </c>
      <c r="U8" s="216">
        <v>1718</v>
      </c>
      <c r="V8" s="216">
        <v>2424</v>
      </c>
      <c r="W8" s="216">
        <v>1390</v>
      </c>
      <c r="X8" s="216">
        <f>IFERROR(_xlfn.XLOOKUP(G:G,'[1]Sheet1'!$F:$F,'[1]Sheet1'!$AJ:$AJ),1169)</f>
      </c>
      <c r="Y8" s="216">
        <v>600</v>
      </c>
      <c r="Z8" s="216"/>
      <c r="AA8" s="216"/>
      <c r="AB8" s="216"/>
      <c r="AC8" s="216"/>
      <c r="AD8" s="222"/>
      <c r="AE8" s="222"/>
      <c r="AF8" s="222"/>
      <c r="AG8" s="222">
        <v>800</v>
      </c>
      <c r="AH8" s="222"/>
    </row>
    <row customHeight="true" ht="13" r="9">
      <c r="A9" cm="1">
        <f t="array" ref="A9:A9">_xlfn.XLOOKUP(H9,'历史月度销量'!C:C,'历史月度销量'!C:C)</f>
      </c>
      <c r="B9" s="209" t="s">
        <v>452</v>
      </c>
      <c r="C9" s="209" t="s">
        <v>453</v>
      </c>
      <c r="D9" s="209" t="s">
        <v>454</v>
      </c>
      <c r="E9" s="209" t="s">
        <v>455</v>
      </c>
      <c r="F9" s="209" t="s">
        <v>456</v>
      </c>
      <c r="G9" s="210" t="s">
        <v>493</v>
      </c>
      <c r="H9" s="211" t="s">
        <v>494</v>
      </c>
      <c r="I9" s="209" t="s">
        <v>495</v>
      </c>
      <c r="J9" s="209">
        <v>50</v>
      </c>
      <c r="K9" s="209" t="s">
        <v>496</v>
      </c>
      <c r="L9" s="223" t="s">
        <v>488</v>
      </c>
      <c r="M9" s="214" t="s">
        <v>492</v>
      </c>
      <c r="N9" s="214" t="s">
        <v>463</v>
      </c>
      <c r="O9" s="209">
        <v>6280</v>
      </c>
      <c r="P9" s="215">
        <v>1.22544488277059</v>
      </c>
      <c r="Q9" s="209">
        <v>13975.7938637993</v>
      </c>
      <c r="R9" s="216"/>
      <c r="S9" s="216"/>
      <c r="T9" s="216">
        <v>1129</v>
      </c>
      <c r="U9" s="216">
        <v>1478</v>
      </c>
      <c r="V9" s="216">
        <v>2317</v>
      </c>
      <c r="W9" s="216">
        <v>1897</v>
      </c>
      <c r="X9" s="216">
        <f>IFERROR(_xlfn.XLOOKUP(G:G,'[1]Sheet1'!$F:$F,'[1]Sheet1'!$AJ:$AJ),617)</f>
      </c>
      <c r="Y9" s="216">
        <v>600</v>
      </c>
      <c r="Z9" s="216"/>
      <c r="AA9" s="216"/>
      <c r="AB9" s="216"/>
      <c r="AC9" s="216"/>
      <c r="AD9" s="222"/>
      <c r="AE9" s="222"/>
      <c r="AF9" s="222"/>
      <c r="AG9" s="222">
        <v>900</v>
      </c>
      <c r="AH9" s="222"/>
    </row>
    <row customHeight="true" ht="13" r="10">
      <c r="A10" cm="1">
        <f t="array" ref="A10:A10">_xlfn.XLOOKUP(H10,'历史月度销量'!C:C,'历史月度销量'!C:C)</f>
      </c>
      <c r="B10" s="209" t="s">
        <v>452</v>
      </c>
      <c r="C10" s="209" t="s">
        <v>453</v>
      </c>
      <c r="D10" s="209" t="s">
        <v>454</v>
      </c>
      <c r="E10" s="209" t="s">
        <v>455</v>
      </c>
      <c r="F10" s="209" t="s">
        <v>456</v>
      </c>
      <c r="G10" s="226" t="s">
        <v>497</v>
      </c>
      <c r="H10" s="209" t="s">
        <v>498</v>
      </c>
      <c r="I10" s="209" t="s">
        <v>499</v>
      </c>
      <c r="J10" s="209">
        <v>50</v>
      </c>
      <c r="K10" s="209" t="s">
        <v>500</v>
      </c>
      <c r="L10" s="223" t="s">
        <v>488</v>
      </c>
      <c r="M10" s="214" t="s">
        <v>492</v>
      </c>
      <c r="N10" s="214" t="s">
        <v>463</v>
      </c>
      <c r="O10" s="209">
        <v>5342</v>
      </c>
      <c r="P10" s="215">
        <v>1.53135592616182</v>
      </c>
      <c r="Q10" s="209">
        <v>13522.5033575564</v>
      </c>
      <c r="R10" s="216"/>
      <c r="S10" s="216"/>
      <c r="T10" s="216">
        <v>980</v>
      </c>
      <c r="U10" s="216">
        <v>1634</v>
      </c>
      <c r="V10" s="216">
        <v>2195</v>
      </c>
      <c r="W10" s="216">
        <v>1599</v>
      </c>
      <c r="X10" s="216">
        <f>IFERROR(_xlfn.XLOOKUP(G:G,'[1]Sheet1'!$F:$F,'[1]Sheet1'!$AJ:$AJ),1196)</f>
      </c>
      <c r="Y10" s="216">
        <v>600</v>
      </c>
      <c r="Z10" s="216"/>
      <c r="AA10" s="216"/>
      <c r="AB10" s="216"/>
      <c r="AC10" s="216"/>
      <c r="AD10" s="222"/>
      <c r="AE10" s="222"/>
      <c r="AF10" s="222"/>
      <c r="AG10" s="222">
        <v>800</v>
      </c>
      <c r="AH10" s="222"/>
    </row>
    <row customHeight="true" ht="13" r="11">
      <c r="A11" cm="1">
        <f t="array" ref="A11:A11">_xlfn.XLOOKUP(H11,'历史月度销量'!C:C,'历史月度销量'!C:C)</f>
      </c>
      <c r="B11" s="209" t="s">
        <v>452</v>
      </c>
      <c r="C11" s="209" t="s">
        <v>453</v>
      </c>
      <c r="D11" s="209" t="s">
        <v>454</v>
      </c>
      <c r="E11" s="209" t="s">
        <v>455</v>
      </c>
      <c r="F11" s="209" t="s">
        <v>456</v>
      </c>
      <c r="G11" s="226" t="s">
        <v>501</v>
      </c>
      <c r="H11" s="209" t="s">
        <v>502</v>
      </c>
      <c r="I11" s="209" t="s">
        <v>503</v>
      </c>
      <c r="J11" s="209">
        <v>50</v>
      </c>
      <c r="K11" s="209" t="s">
        <v>504</v>
      </c>
      <c r="L11" s="221" t="s">
        <v>479</v>
      </c>
      <c r="M11" s="214" t="s">
        <v>492</v>
      </c>
      <c r="N11" s="214" t="s">
        <v>463</v>
      </c>
      <c r="O11" s="209">
        <v>0</v>
      </c>
      <c r="P11" s="215" t="str">
        <v>#DIV/0!</v>
      </c>
      <c r="Q11" s="209">
        <v>10114.5604783298</v>
      </c>
      <c r="R11" s="216"/>
      <c r="S11" s="216"/>
      <c r="T11" s="216">
        <v>164</v>
      </c>
      <c r="U11" s="216">
        <v>793</v>
      </c>
      <c r="V11" s="216">
        <v>1217</v>
      </c>
      <c r="W11" s="216">
        <v>1738</v>
      </c>
      <c r="X11" s="216">
        <f>IFERROR(_xlfn.XLOOKUP(G:G,'[1]Sheet1'!$F:$F,'[1]Sheet1'!$AJ:$AJ),798)</f>
      </c>
      <c r="Y11" s="216">
        <v>600</v>
      </c>
      <c r="Z11" s="216"/>
      <c r="AA11" s="216"/>
      <c r="AB11" s="216"/>
      <c r="AC11" s="216"/>
      <c r="AD11" s="222"/>
      <c r="AE11" s="222"/>
      <c r="AF11" s="222"/>
      <c r="AG11" s="222"/>
      <c r="AH11" s="222"/>
    </row>
    <row customHeight="true" ht="13" r="12">
      <c r="A12" cm="1">
        <f t="array" ref="A12:A12">_xlfn.XLOOKUP(H12,'历史月度销量'!C:C,'历史月度销量'!C:C)</f>
      </c>
      <c r="B12" s="209" t="s">
        <v>452</v>
      </c>
      <c r="C12" s="209" t="s">
        <v>453</v>
      </c>
      <c r="D12" s="209" t="s">
        <v>505</v>
      </c>
      <c r="E12" s="209" t="s">
        <v>506</v>
      </c>
      <c r="F12" s="209" t="s">
        <v>456</v>
      </c>
      <c r="G12" s="226" t="s">
        <v>507</v>
      </c>
      <c r="H12" s="209" t="s">
        <v>508</v>
      </c>
      <c r="I12" s="209" t="s">
        <v>507</v>
      </c>
      <c r="J12" s="209">
        <v>20</v>
      </c>
      <c r="K12" s="209" t="s">
        <v>509</v>
      </c>
      <c r="L12" s="223" t="s">
        <v>461</v>
      </c>
      <c r="M12" s="214" t="s">
        <v>492</v>
      </c>
      <c r="N12" s="214" t="s">
        <v>463</v>
      </c>
      <c r="O12" s="209">
        <v>0</v>
      </c>
      <c r="P12" s="215" t="str">
        <v>#DIV/0!</v>
      </c>
      <c r="Q12" s="209">
        <v>3893.37619999196</v>
      </c>
      <c r="R12" s="219"/>
      <c r="S12" s="219"/>
      <c r="T12" s="216">
        <v>83</v>
      </c>
      <c r="U12" s="216">
        <v>447</v>
      </c>
      <c r="V12" s="216">
        <v>791</v>
      </c>
      <c r="W12" s="216">
        <v>592</v>
      </c>
      <c r="X12" s="216">
        <f>IFERROR(_xlfn.XLOOKUP(G:G,'[1]Sheet1'!$F:$F,'[1]Sheet1'!$AJ:$AJ),205)</f>
      </c>
      <c r="Y12" s="216">
        <v>150</v>
      </c>
      <c r="Z12" s="216"/>
      <c r="AA12" s="216"/>
      <c r="AB12" s="216"/>
      <c r="AC12" s="216"/>
      <c r="AD12" s="222"/>
      <c r="AE12" s="222"/>
      <c r="AF12" s="222"/>
      <c r="AG12" s="222">
        <v>76</v>
      </c>
      <c r="AH12" s="222"/>
    </row>
    <row customHeight="true" ht="13" r="13">
      <c r="A13" cm="1">
        <f t="array" ref="A13:A13">_xlfn.XLOOKUP(H13,'历史月度销量'!C:C,'历史月度销量'!C:C)</f>
      </c>
      <c r="B13" s="209" t="s">
        <v>452</v>
      </c>
      <c r="C13" s="209" t="s">
        <v>453</v>
      </c>
      <c r="D13" s="209" t="s">
        <v>505</v>
      </c>
      <c r="E13" s="209" t="s">
        <v>506</v>
      </c>
      <c r="F13" s="209" t="s">
        <v>456</v>
      </c>
      <c r="G13" s="226" t="s">
        <v>510</v>
      </c>
      <c r="H13" s="209" t="s">
        <v>511</v>
      </c>
      <c r="I13" s="209" t="s">
        <v>512</v>
      </c>
      <c r="J13" s="209">
        <v>20</v>
      </c>
      <c r="K13" s="209" t="s">
        <v>513</v>
      </c>
      <c r="L13" s="223" t="s">
        <v>488</v>
      </c>
      <c r="M13" s="214" t="s">
        <v>492</v>
      </c>
      <c r="N13" s="214" t="s">
        <v>463</v>
      </c>
      <c r="O13" s="209"/>
      <c r="P13" s="215" t="str">
        <v>#DIV/0!</v>
      </c>
      <c r="Q13" s="209">
        <v>3399.4333078686</v>
      </c>
      <c r="R13" s="219"/>
      <c r="S13" s="219"/>
      <c r="T13" s="216">
        <v>54</v>
      </c>
      <c r="U13" s="216">
        <v>317</v>
      </c>
      <c r="V13" s="216">
        <v>552</v>
      </c>
      <c r="W13" s="216">
        <v>483</v>
      </c>
      <c r="X13" s="216">
        <f>IFERROR(_xlfn.XLOOKUP(G:G,'[1]Sheet1'!$F:$F,'[1]Sheet1'!$AJ:$AJ),621)</f>
      </c>
      <c r="Y13" s="216">
        <v>150</v>
      </c>
      <c r="Z13" s="216"/>
      <c r="AA13" s="216"/>
      <c r="AB13" s="216"/>
      <c r="AC13" s="216"/>
      <c r="AD13" s="222"/>
      <c r="AE13" s="222"/>
      <c r="AF13" s="222"/>
      <c r="AG13" s="222"/>
      <c r="AH13" s="222"/>
    </row>
    <row customHeight="true" ht="13" r="14">
      <c r="A14" cm="1">
        <f t="array" ref="A14:A14">_xlfn.XLOOKUP(H14,'历史月度销量'!C:C,'历史月度销量'!C:C)</f>
      </c>
      <c r="B14" s="209" t="s">
        <v>452</v>
      </c>
      <c r="C14" s="209" t="s">
        <v>453</v>
      </c>
      <c r="D14" s="209" t="s">
        <v>505</v>
      </c>
      <c r="E14" s="209" t="s">
        <v>506</v>
      </c>
      <c r="F14" s="209" t="s">
        <v>456</v>
      </c>
      <c r="G14" s="226" t="s">
        <v>514</v>
      </c>
      <c r="H14" s="209" t="s">
        <v>515</v>
      </c>
      <c r="I14" s="209" t="s">
        <v>514</v>
      </c>
      <c r="J14" s="209">
        <v>20</v>
      </c>
      <c r="K14" s="209" t="s">
        <v>516</v>
      </c>
      <c r="L14" s="223" t="s">
        <v>488</v>
      </c>
      <c r="M14" s="214" t="s">
        <v>492</v>
      </c>
      <c r="N14" s="214" t="s">
        <v>463</v>
      </c>
      <c r="O14" s="209"/>
      <c r="P14" s="215" t="str">
        <v>#DIV/0!</v>
      </c>
      <c r="Q14" s="209">
        <v>3627.80806722689</v>
      </c>
      <c r="R14" s="219"/>
      <c r="S14" s="219"/>
      <c r="T14" s="216">
        <v>44</v>
      </c>
      <c r="U14" s="216">
        <v>352</v>
      </c>
      <c r="V14" s="216">
        <v>699</v>
      </c>
      <c r="W14" s="216">
        <v>539</v>
      </c>
      <c r="X14" s="216">
        <f>IFERROR(_xlfn.XLOOKUP(G:G,'[1]Sheet1'!$F:$F,'[1]Sheet1'!$AJ:$AJ),292)</f>
      </c>
      <c r="Y14" s="216">
        <v>150</v>
      </c>
      <c r="Z14" s="216"/>
      <c r="AA14" s="216"/>
      <c r="AB14" s="216"/>
      <c r="AC14" s="216"/>
      <c r="AD14" s="222"/>
      <c r="AE14" s="222"/>
      <c r="AF14" s="222"/>
      <c r="AG14" s="222"/>
      <c r="AH14" s="222"/>
    </row>
    <row customHeight="true" ht="13" r="15">
      <c r="A15" cm="1">
        <f t="array" ref="A15:A15">_xlfn.XLOOKUP(H15,'历史月度销量'!C:C,'历史月度销量'!C:C)</f>
      </c>
      <c r="B15" s="209" t="s">
        <v>452</v>
      </c>
      <c r="C15" s="209" t="s">
        <v>453</v>
      </c>
      <c r="D15" s="209" t="s">
        <v>505</v>
      </c>
      <c r="E15" s="209" t="s">
        <v>506</v>
      </c>
      <c r="F15" s="209" t="s">
        <v>456</v>
      </c>
      <c r="G15" s="210" t="s">
        <v>517</v>
      </c>
      <c r="H15" s="209" t="s">
        <v>518</v>
      </c>
      <c r="I15" s="209" t="s">
        <v>517</v>
      </c>
      <c r="J15" s="209">
        <v>1</v>
      </c>
      <c r="K15" s="209" t="s">
        <v>519</v>
      </c>
      <c r="L15" s="223" t="s">
        <v>484</v>
      </c>
      <c r="M15" s="214" t="s">
        <v>462</v>
      </c>
      <c r="N15" s="214" t="s">
        <v>463</v>
      </c>
      <c r="O15" s="209">
        <v>11468</v>
      </c>
      <c r="P15" s="215">
        <v>0.555469800597688</v>
      </c>
      <c r="Q15" s="209">
        <v>17838.1276732543</v>
      </c>
      <c r="R15" s="216">
        <v>64</v>
      </c>
      <c r="S15" s="216">
        <v>58</v>
      </c>
      <c r="T15" s="216">
        <v>590</v>
      </c>
      <c r="U15" s="216">
        <v>1784</v>
      </c>
      <c r="V15" s="216">
        <v>3108</v>
      </c>
      <c r="W15" s="216">
        <v>2568</v>
      </c>
      <c r="X15" s="216">
        <f>IFERROR(_xlfn.XLOOKUP(G:G,'[1]Sheet1'!$F:$F,'[1]Sheet1'!$AJ:$AJ),1208)</f>
      </c>
      <c r="Y15" s="216">
        <v>1850</v>
      </c>
      <c r="Z15" s="216"/>
      <c r="AA15" s="216"/>
      <c r="AB15" s="216"/>
      <c r="AC15" s="216"/>
      <c r="AD15" s="222"/>
      <c r="AE15" s="222">
        <v>50</v>
      </c>
      <c r="AF15" s="222">
        <v>110</v>
      </c>
      <c r="AG15" s="222">
        <v>550</v>
      </c>
      <c r="AH15" s="222"/>
    </row>
    <row customHeight="true" ht="13" r="16">
      <c r="A16" cm="1">
        <f t="array" ref="A16:A16">_xlfn.XLOOKUP(H16,'历史月度销量'!C:C,'历史月度销量'!C:C)</f>
      </c>
      <c r="B16" s="209" t="s">
        <v>452</v>
      </c>
      <c r="C16" s="209" t="s">
        <v>453</v>
      </c>
      <c r="D16" s="209" t="s">
        <v>505</v>
      </c>
      <c r="E16" s="209" t="s">
        <v>506</v>
      </c>
      <c r="F16" s="209" t="s">
        <v>456</v>
      </c>
      <c r="G16" s="210" t="s">
        <v>520</v>
      </c>
      <c r="H16" s="209" t="s">
        <v>521</v>
      </c>
      <c r="I16" s="209" t="s">
        <v>520</v>
      </c>
      <c r="J16" s="209">
        <v>5</v>
      </c>
      <c r="K16" s="209" t="s">
        <v>522</v>
      </c>
      <c r="L16" s="221" t="s">
        <v>488</v>
      </c>
      <c r="M16" s="214" t="s">
        <v>462</v>
      </c>
      <c r="N16" s="214" t="s">
        <v>463</v>
      </c>
      <c r="O16" s="209">
        <v>8683</v>
      </c>
      <c r="P16" s="215">
        <v>0.619582057952221</v>
      </c>
      <c r="Q16" s="209">
        <v>14062.8310091991</v>
      </c>
      <c r="R16" s="216">
        <v>16</v>
      </c>
      <c r="S16" s="216">
        <v>61</v>
      </c>
      <c r="T16" s="216">
        <v>336</v>
      </c>
      <c r="U16" s="216">
        <v>1531</v>
      </c>
      <c r="V16" s="216">
        <v>2405</v>
      </c>
      <c r="W16" s="216">
        <v>2120</v>
      </c>
      <c r="X16" s="216">
        <f>IFERROR(_xlfn.XLOOKUP(G:G,'[1]Sheet1'!$F:$F,'[1]Sheet1'!$AJ:$AJ),1231)</f>
      </c>
      <c r="Y16" s="216">
        <v>1600</v>
      </c>
      <c r="Z16" s="216"/>
      <c r="AA16" s="216"/>
      <c r="AB16" s="216"/>
      <c r="AC16" s="216"/>
      <c r="AD16" s="222"/>
      <c r="AE16" s="219">
        <v>60</v>
      </c>
      <c r="AF16" s="216">
        <v>130</v>
      </c>
      <c r="AG16" s="216">
        <v>600</v>
      </c>
      <c r="AH16" s="222"/>
    </row>
    <row customHeight="true" ht="13" r="17">
      <c r="A17" cm="1">
        <f t="array" ref="A17:A17">_xlfn.XLOOKUP(H17,'历史月度销量'!C:C,'历史月度销量'!C:C)</f>
      </c>
      <c r="B17" s="209" t="s">
        <v>452</v>
      </c>
      <c r="C17" s="209" t="s">
        <v>453</v>
      </c>
      <c r="D17" s="209" t="s">
        <v>523</v>
      </c>
      <c r="E17" s="209" t="s">
        <v>506</v>
      </c>
      <c r="F17" s="209" t="s">
        <v>456</v>
      </c>
      <c r="G17" s="210" t="s">
        <v>524</v>
      </c>
      <c r="H17" s="209" t="s">
        <v>525</v>
      </c>
      <c r="I17" s="209" t="s">
        <v>524</v>
      </c>
      <c r="J17" s="209">
        <v>8</v>
      </c>
      <c r="K17" s="209" t="s">
        <v>526</v>
      </c>
      <c r="L17" s="223" t="s">
        <v>474</v>
      </c>
      <c r="M17" s="214" t="s">
        <v>462</v>
      </c>
      <c r="N17" s="214" t="s">
        <v>463</v>
      </c>
      <c r="O17" s="209">
        <v>4934</v>
      </c>
      <c r="P17" s="215">
        <v>0.378194718659897</v>
      </c>
      <c r="Q17" s="209">
        <v>6800.01274186793</v>
      </c>
      <c r="R17" s="216">
        <v>7</v>
      </c>
      <c r="S17" s="216">
        <v>20</v>
      </c>
      <c r="T17" s="216">
        <v>188</v>
      </c>
      <c r="U17" s="216">
        <v>571</v>
      </c>
      <c r="V17" s="216">
        <v>1100</v>
      </c>
      <c r="W17" s="216">
        <v>1199</v>
      </c>
      <c r="X17" s="216">
        <f>IFERROR(_xlfn.XLOOKUP(G:G,'[1]Sheet1'!$F:$F,'[1]Sheet1'!$AJ:$AJ),590)</f>
      </c>
      <c r="Y17" s="216">
        <v>700</v>
      </c>
      <c r="Z17" s="216"/>
      <c r="AA17" s="216"/>
      <c r="AB17" s="216"/>
      <c r="AC17" s="216"/>
      <c r="AD17" s="222"/>
      <c r="AE17" s="222"/>
      <c r="AF17" s="222">
        <v>30</v>
      </c>
      <c r="AG17" s="222">
        <v>150</v>
      </c>
      <c r="AH17" s="222"/>
    </row>
    <row customHeight="true" ht="13" r="18">
      <c r="A18" cm="1">
        <f t="array" ref="A18:A18">_xlfn.XLOOKUP(H18,'历史月度销量'!C:C,'历史月度销量'!C:C)</f>
      </c>
      <c r="B18" s="209" t="s">
        <v>452</v>
      </c>
      <c r="C18" s="209" t="s">
        <v>453</v>
      </c>
      <c r="D18" s="209" t="s">
        <v>523</v>
      </c>
      <c r="E18" s="209" t="s">
        <v>506</v>
      </c>
      <c r="F18" s="209" t="s">
        <v>456</v>
      </c>
      <c r="G18" s="210" t="s">
        <v>527</v>
      </c>
      <c r="H18" s="209" t="s">
        <v>528</v>
      </c>
      <c r="I18" s="209" t="s">
        <v>527</v>
      </c>
      <c r="J18" s="209">
        <v>10</v>
      </c>
      <c r="K18" s="209" t="s">
        <v>529</v>
      </c>
      <c r="L18" s="223" t="s">
        <v>479</v>
      </c>
      <c r="M18" s="214" t="s">
        <v>462</v>
      </c>
      <c r="N18" s="214" t="s">
        <v>463</v>
      </c>
      <c r="O18" s="209">
        <v>3044</v>
      </c>
      <c r="P18" s="215">
        <v>0.520711193695699</v>
      </c>
      <c r="Q18" s="223">
        <v>4629.04487360971</v>
      </c>
      <c r="R18" s="219">
        <v>11</v>
      </c>
      <c r="S18" s="219">
        <v>13</v>
      </c>
      <c r="T18" s="216">
        <v>61</v>
      </c>
      <c r="U18" s="216">
        <v>411</v>
      </c>
      <c r="V18" s="216">
        <v>776</v>
      </c>
      <c r="W18" s="216">
        <v>758</v>
      </c>
      <c r="X18" s="216">
        <f>IFERROR(_xlfn.XLOOKUP(G:G,'[1]Sheet1'!$F:$F,'[1]Sheet1'!$AJ:$AJ),694)</f>
      </c>
      <c r="Y18" s="216">
        <v>240</v>
      </c>
      <c r="Z18" s="216"/>
      <c r="AA18" s="216"/>
      <c r="AB18" s="216"/>
      <c r="AC18" s="216"/>
      <c r="AD18" s="222"/>
      <c r="AE18" s="222"/>
      <c r="AF18" s="219">
        <v>30</v>
      </c>
      <c r="AG18" s="216">
        <v>150</v>
      </c>
      <c r="AH18" s="222"/>
    </row>
    <row customHeight="true" ht="13" r="19">
      <c r="A19" cm="1">
        <f t="array" ref="A19:A19">_xlfn.XLOOKUP(H19,'历史月度销量'!C:C,'历史月度销量'!C:C)</f>
      </c>
      <c r="B19" s="209" t="s">
        <v>452</v>
      </c>
      <c r="C19" s="209" t="s">
        <v>453</v>
      </c>
      <c r="D19" s="209" t="s">
        <v>454</v>
      </c>
      <c r="E19" s="209" t="s">
        <v>455</v>
      </c>
      <c r="F19" s="209" t="s">
        <v>456</v>
      </c>
      <c r="G19" s="226" t="s">
        <v>530</v>
      </c>
      <c r="H19" s="209" t="s">
        <v>531</v>
      </c>
      <c r="I19" s="209" t="s">
        <v>532</v>
      </c>
      <c r="J19" s="209">
        <v>10</v>
      </c>
      <c r="K19" s="209"/>
      <c r="L19" s="223" t="s">
        <v>533</v>
      </c>
      <c r="M19" s="214" t="s">
        <v>492</v>
      </c>
      <c r="N19" s="214" t="s">
        <v>463</v>
      </c>
      <c r="O19" s="209">
        <v>799</v>
      </c>
      <c r="P19" s="215">
        <v>63.3142870546161</v>
      </c>
      <c r="Q19" s="209">
        <v>51387.1153566383</v>
      </c>
      <c r="R19" s="216">
        <v>432</v>
      </c>
      <c r="S19" s="216">
        <v>1348</v>
      </c>
      <c r="T19" s="216">
        <v>3429</v>
      </c>
      <c r="U19" s="216">
        <v>5550</v>
      </c>
      <c r="V19" s="216">
        <v>5738</v>
      </c>
      <c r="W19" s="216"/>
      <c r="X19" s="216">
        <f>IFERROR(_xlfn.XLOOKUP(G:G,'[1]Sheet1'!$F:$F,'[1]Sheet1'!$AJ:$AJ),0)</f>
      </c>
      <c r="Y19" s="216">
        <v>5753</v>
      </c>
      <c r="Z19" s="216">
        <v>2414</v>
      </c>
      <c r="AA19" s="216">
        <v>1831</v>
      </c>
      <c r="AB19" s="216">
        <v>1715</v>
      </c>
      <c r="AC19" s="216">
        <v>1458</v>
      </c>
      <c r="AD19" s="222">
        <v>1139</v>
      </c>
      <c r="AE19" s="219">
        <v>1000</v>
      </c>
      <c r="AF19" s="216">
        <v>2500</v>
      </c>
      <c r="AG19" s="216">
        <v>4500</v>
      </c>
      <c r="AH19" s="222"/>
    </row>
    <row customHeight="true" ht="13" r="20">
      <c r="A20" cm="1">
        <f t="array" ref="A20:A20">_xlfn.XLOOKUP(H20,'历史月度销量'!C:C,'历史月度销量'!C:C)</f>
      </c>
      <c r="B20" s="209" t="s">
        <v>452</v>
      </c>
      <c r="C20" s="209" t="s">
        <v>453</v>
      </c>
      <c r="D20" s="209" t="s">
        <v>454</v>
      </c>
      <c r="E20" s="209" t="s">
        <v>455</v>
      </c>
      <c r="F20" s="209" t="s">
        <v>456</v>
      </c>
      <c r="G20" s="226" t="s">
        <v>534</v>
      </c>
      <c r="H20" s="209" t="s">
        <v>535</v>
      </c>
      <c r="I20" s="209" t="s">
        <v>536</v>
      </c>
      <c r="J20" s="209">
        <v>30</v>
      </c>
      <c r="K20" s="209"/>
      <c r="L20" s="223" t="s">
        <v>537</v>
      </c>
      <c r="M20" s="214" t="s">
        <v>492</v>
      </c>
      <c r="N20" s="214" t="s">
        <v>463</v>
      </c>
      <c r="O20" s="209">
        <v>1656</v>
      </c>
      <c r="P20" s="215">
        <v>16.6258350643204</v>
      </c>
      <c r="Q20" s="209">
        <v>29188.3828665145</v>
      </c>
      <c r="R20" s="216">
        <v>181</v>
      </c>
      <c r="S20" s="216"/>
      <c r="T20" s="216">
        <v>2009</v>
      </c>
      <c r="U20" s="228">
        <v>2296</v>
      </c>
      <c r="V20" s="216">
        <v>3244</v>
      </c>
      <c r="W20" s="229">
        <v>3278</v>
      </c>
      <c r="X20" s="216">
        <f>IFERROR(_xlfn.XLOOKUP(G:G,'[1]Sheet1'!$F:$F,'[1]Sheet1'!$AJ:$AJ),2170)</f>
      </c>
      <c r="Y20" s="216">
        <v>2307</v>
      </c>
      <c r="Z20" s="216">
        <v>1425</v>
      </c>
      <c r="AA20" s="216">
        <v>1200</v>
      </c>
      <c r="AB20" s="216">
        <v>1054</v>
      </c>
      <c r="AC20" s="216">
        <v>895</v>
      </c>
      <c r="AD20" s="222">
        <v>761</v>
      </c>
      <c r="AE20" s="222">
        <v>650</v>
      </c>
      <c r="AF20" s="222">
        <v>900</v>
      </c>
      <c r="AG20" s="216">
        <v>2000</v>
      </c>
      <c r="AH20" s="222"/>
    </row>
    <row customHeight="true" ht="13" r="21">
      <c r="A21" cm="1">
        <f t="array" ref="A21:A21">_xlfn.XLOOKUP(H21,'历史月度销量'!C:C,'历史月度销量'!C:C)</f>
      </c>
      <c r="B21" s="209" t="s">
        <v>452</v>
      </c>
      <c r="C21" s="209" t="s">
        <v>453</v>
      </c>
      <c r="D21" s="209" t="s">
        <v>454</v>
      </c>
      <c r="E21" s="209" t="s">
        <v>455</v>
      </c>
      <c r="F21" s="209" t="s">
        <v>456</v>
      </c>
      <c r="G21" s="226" t="s">
        <v>538</v>
      </c>
      <c r="H21" s="209" t="s">
        <v>539</v>
      </c>
      <c r="I21" s="209" t="s">
        <v>540</v>
      </c>
      <c r="J21" s="209">
        <v>40</v>
      </c>
      <c r="K21" s="209"/>
      <c r="L21" s="223" t="s">
        <v>533</v>
      </c>
      <c r="M21" s="214" t="s">
        <v>492</v>
      </c>
      <c r="N21" s="214" t="s">
        <v>463</v>
      </c>
      <c r="O21" s="209">
        <v>1040</v>
      </c>
      <c r="P21" s="215">
        <v>20.5408698340226</v>
      </c>
      <c r="Q21" s="209">
        <v>22402.5046273835</v>
      </c>
      <c r="R21" s="216">
        <v>294</v>
      </c>
      <c r="S21" s="216">
        <v>796</v>
      </c>
      <c r="T21" s="216">
        <v>1640</v>
      </c>
      <c r="U21" s="216">
        <v>1959</v>
      </c>
      <c r="V21" s="216">
        <v>2447</v>
      </c>
      <c r="W21" s="216"/>
      <c r="X21" s="216">
        <f t="shared" ref="X21:X23" si="0">IFERROR(_xlfn.XLOOKUP(G:G,'[1]Sheet1'!$F:$F,'[1]Sheet1'!$AJ:$AJ),0)</f>
      </c>
      <c r="Y21" s="216">
        <v>2265</v>
      </c>
      <c r="Z21" s="216">
        <v>1192</v>
      </c>
      <c r="AA21" s="216">
        <v>973</v>
      </c>
      <c r="AB21" s="216">
        <v>876</v>
      </c>
      <c r="AC21" s="216">
        <v>770</v>
      </c>
      <c r="AD21" s="222">
        <v>655</v>
      </c>
      <c r="AE21" s="219">
        <v>500</v>
      </c>
      <c r="AF21" s="216">
        <v>680</v>
      </c>
      <c r="AG21" s="216">
        <v>1300</v>
      </c>
      <c r="AH21" s="222"/>
    </row>
    <row customHeight="true" ht="13" r="22">
      <c r="A22" cm="1">
        <f t="array" ref="A22:A22">_xlfn.XLOOKUP(H22,'历史月度销量'!C:C,'历史月度销量'!C:C)</f>
      </c>
      <c r="B22" s="209" t="s">
        <v>452</v>
      </c>
      <c r="C22" s="209" t="s">
        <v>453</v>
      </c>
      <c r="D22" s="209" t="s">
        <v>454</v>
      </c>
      <c r="E22" s="209" t="s">
        <v>455</v>
      </c>
      <c r="F22" s="209" t="s">
        <v>456</v>
      </c>
      <c r="G22" s="226" t="s">
        <v>541</v>
      </c>
      <c r="H22" s="209" t="s">
        <v>542</v>
      </c>
      <c r="I22" s="209" t="s">
        <v>543</v>
      </c>
      <c r="J22" s="209">
        <v>80</v>
      </c>
      <c r="K22" s="209"/>
      <c r="L22" s="223" t="s">
        <v>533</v>
      </c>
      <c r="M22" s="214" t="s">
        <v>492</v>
      </c>
      <c r="N22" s="214" t="s">
        <v>463</v>
      </c>
      <c r="O22" s="209">
        <v>0</v>
      </c>
      <c r="P22" s="215" t="str">
        <v>#DIV/0!</v>
      </c>
      <c r="Q22" s="209">
        <v>4001.47917894718</v>
      </c>
      <c r="R22" s="216"/>
      <c r="S22" s="216"/>
      <c r="T22" s="230">
        <v>369</v>
      </c>
      <c r="U22" s="230">
        <v>634</v>
      </c>
      <c r="V22" s="230">
        <v>223</v>
      </c>
      <c r="W22" s="216"/>
      <c r="X22" s="216">
        <f t="shared" si="0"/>
      </c>
      <c r="Y22" s="216">
        <v>0</v>
      </c>
      <c r="Z22" s="216">
        <v>145</v>
      </c>
      <c r="AA22" s="216">
        <v>1060</v>
      </c>
      <c r="AB22" s="231">
        <v>533</v>
      </c>
      <c r="AC22" s="216">
        <v>0</v>
      </c>
      <c r="AD22" s="222">
        <v>0</v>
      </c>
      <c r="AE22" s="222"/>
      <c r="AF22" s="222"/>
      <c r="AG22" s="222"/>
      <c r="AH22" s="222"/>
    </row>
    <row customHeight="true" ht="21" r="23">
      <c r="A23" cm="1">
        <f t="array" ref="A23:A23">_xlfn.XLOOKUP(H23,'历史月度销量'!C:C,'历史月度销量'!C:C)</f>
      </c>
      <c r="B23" s="209" t="s">
        <v>452</v>
      </c>
      <c r="C23" s="209" t="s">
        <v>453</v>
      </c>
      <c r="D23" s="209" t="s">
        <v>505</v>
      </c>
      <c r="E23" s="209" t="s">
        <v>506</v>
      </c>
      <c r="F23" s="209" t="s">
        <v>456</v>
      </c>
      <c r="G23" s="226" t="s">
        <v>544</v>
      </c>
      <c r="H23" s="226" t="s">
        <v>545</v>
      </c>
      <c r="I23" s="209" t="s">
        <v>530</v>
      </c>
      <c r="J23" s="209">
        <v>20</v>
      </c>
      <c r="K23" s="209"/>
      <c r="L23" s="223" t="s">
        <v>533</v>
      </c>
      <c r="M23" s="214" t="s">
        <v>546</v>
      </c>
      <c r="N23" s="214" t="s">
        <v>463</v>
      </c>
      <c r="O23" s="209"/>
      <c r="P23" s="215" t="str">
        <v>#DIV/0!</v>
      </c>
      <c r="Q23" s="209" t="str">
        <v>#DIV/0!</v>
      </c>
      <c r="R23" s="216">
        <v>45</v>
      </c>
      <c r="S23" s="216">
        <v>45</v>
      </c>
      <c r="T23" s="216"/>
      <c r="U23" s="230">
        <v>485</v>
      </c>
      <c r="V23" s="230">
        <v>553</v>
      </c>
      <c r="W23" s="216"/>
      <c r="X23" s="216">
        <f t="shared" si="0"/>
      </c>
      <c r="Y23" s="216">
        <v>700</v>
      </c>
      <c r="Z23" s="216">
        <v>450</v>
      </c>
      <c r="AA23" s="216">
        <v>350</v>
      </c>
      <c r="AB23" s="216">
        <v>150</v>
      </c>
      <c r="AC23" s="216">
        <v>100</v>
      </c>
      <c r="AD23" s="222">
        <v>100</v>
      </c>
      <c r="AE23" s="222"/>
      <c r="AF23" s="222"/>
      <c r="AG23" s="222"/>
      <c r="AH23" s="222"/>
    </row>
    <row customHeight="true" ht="13" r="24">
      <c r="A24" cm="1">
        <f t="array" ref="A24:A24">_xlfn.XLOOKUP(H24,'历史月度销量'!C:C,'历史月度销量'!C:C)</f>
      </c>
      <c r="B24" s="209" t="s">
        <v>452</v>
      </c>
      <c r="C24" s="209" t="s">
        <v>453</v>
      </c>
      <c r="D24" s="209" t="s">
        <v>505</v>
      </c>
      <c r="E24" s="209" t="s">
        <v>506</v>
      </c>
      <c r="F24" s="209" t="s">
        <v>456</v>
      </c>
      <c r="G24" s="226" t="s">
        <v>547</v>
      </c>
      <c r="H24" s="232" t="s">
        <v>548</v>
      </c>
      <c r="I24" s="209" t="s">
        <v>534</v>
      </c>
      <c r="J24" s="209">
        <v>30</v>
      </c>
      <c r="K24" s="209"/>
      <c r="L24" s="223" t="s">
        <v>537</v>
      </c>
      <c r="M24" s="214" t="s">
        <v>546</v>
      </c>
      <c r="N24" s="214" t="s">
        <v>463</v>
      </c>
      <c r="O24" s="209"/>
      <c r="P24" s="215" t="str">
        <v>#DIV/0!</v>
      </c>
      <c r="Q24" s="209" t="str">
        <v>#DIV/0!</v>
      </c>
      <c r="R24" s="216">
        <v>10</v>
      </c>
      <c r="S24" s="216">
        <v>11</v>
      </c>
      <c r="T24" s="216"/>
      <c r="U24" s="216">
        <v>132</v>
      </c>
      <c r="V24" s="216">
        <v>309</v>
      </c>
      <c r="W24" s="229">
        <v>108</v>
      </c>
      <c r="X24" s="216">
        <f>IFERROR(_xlfn.XLOOKUP(G:G,'[1]Sheet1'!$F:$F,'[1]Sheet1'!$AJ:$AJ),23)</f>
      </c>
      <c r="Y24" s="216">
        <v>270</v>
      </c>
      <c r="Z24" s="216">
        <v>190</v>
      </c>
      <c r="AA24" s="216">
        <v>150</v>
      </c>
      <c r="AB24" s="216">
        <v>100</v>
      </c>
      <c r="AC24" s="216"/>
      <c r="AD24" s="222"/>
      <c r="AE24" s="222"/>
      <c r="AF24" s="222"/>
      <c r="AG24" s="222"/>
      <c r="AH24" s="222"/>
    </row>
    <row customHeight="true" ht="13" r="25">
      <c r="A25" cm="1">
        <f t="array" ref="A25:A25">_xlfn.XLOOKUP(H25,'历史月度销量'!C:C,'历史月度销量'!C:C)</f>
      </c>
      <c r="B25" s="209" t="s">
        <v>452</v>
      </c>
      <c r="C25" s="209" t="s">
        <v>453</v>
      </c>
      <c r="D25" s="209" t="s">
        <v>469</v>
      </c>
      <c r="E25" s="209" t="s">
        <v>455</v>
      </c>
      <c r="F25" s="209" t="s">
        <v>549</v>
      </c>
      <c r="G25" s="226" t="s">
        <v>550</v>
      </c>
      <c r="H25" s="209" t="s">
        <v>551</v>
      </c>
      <c r="I25" s="209" t="s">
        <v>552</v>
      </c>
      <c r="J25" s="209">
        <v>35</v>
      </c>
      <c r="K25" s="209"/>
      <c r="L25" s="223" t="s">
        <v>553</v>
      </c>
      <c r="M25" s="214" t="s">
        <v>462</v>
      </c>
      <c r="N25" s="233" t="s">
        <v>463</v>
      </c>
      <c r="O25" s="212">
        <v>8450</v>
      </c>
      <c r="P25" s="234">
        <v>0.579881656804734</v>
      </c>
      <c r="Q25" s="213">
        <v>22508.192417908</v>
      </c>
      <c r="R25" s="235">
        <v>1218</v>
      </c>
      <c r="S25" s="236">
        <v>912</v>
      </c>
      <c r="T25" s="236">
        <v>1084</v>
      </c>
      <c r="U25" s="236">
        <v>698</v>
      </c>
      <c r="V25" s="236">
        <v>814</v>
      </c>
      <c r="W25" s="236">
        <v>678</v>
      </c>
      <c r="X25" s="216">
        <f t="shared" ref="X25:X36" si="1">IFERROR(_xlfn.XLOOKUP(G:G,'[1]Sheet1'!$F:$F,'[1]Sheet1'!$AJ:$AJ),0)</f>
      </c>
      <c r="Y25" s="237">
        <v>1700</v>
      </c>
      <c r="Z25" s="237">
        <v>1500</v>
      </c>
      <c r="AA25" s="237">
        <v>1450</v>
      </c>
      <c r="AB25" s="237">
        <v>1400</v>
      </c>
      <c r="AC25" s="237">
        <v>1750</v>
      </c>
      <c r="AD25" s="237">
        <v>1500</v>
      </c>
      <c r="AE25" s="238">
        <v>1350</v>
      </c>
      <c r="AF25" s="238">
        <v>1300</v>
      </c>
      <c r="AG25" s="238">
        <v>1400</v>
      </c>
      <c r="AH25" s="237"/>
    </row>
    <row customHeight="true" ht="13" r="26">
      <c r="A26" cm="1">
        <f t="array" ref="A26:A26">_xlfn.XLOOKUP(H26,'历史月度销量'!C:C,'历史月度销量'!C:C)</f>
      </c>
      <c r="B26" s="209" t="s">
        <v>452</v>
      </c>
      <c r="C26" s="209" t="s">
        <v>453</v>
      </c>
      <c r="D26" s="209" t="s">
        <v>469</v>
      </c>
      <c r="E26" s="209" t="s">
        <v>455</v>
      </c>
      <c r="F26" s="209" t="s">
        <v>549</v>
      </c>
      <c r="G26" s="226" t="s">
        <v>554</v>
      </c>
      <c r="H26" s="209" t="s">
        <v>555</v>
      </c>
      <c r="I26" s="209" t="s">
        <v>554</v>
      </c>
      <c r="J26" s="209">
        <v>40</v>
      </c>
      <c r="K26" s="209" t="s">
        <v>556</v>
      </c>
      <c r="L26" s="223" t="s">
        <v>553</v>
      </c>
      <c r="M26" s="239" t="s">
        <v>557</v>
      </c>
      <c r="N26" s="212" t="s">
        <v>463</v>
      </c>
      <c r="O26" s="240">
        <v>3388</v>
      </c>
      <c r="P26" s="241">
        <v>5.64265743887206</v>
      </c>
      <c r="Q26" s="209">
        <v>22505.3234028985</v>
      </c>
      <c r="R26" s="242">
        <v>1069</v>
      </c>
      <c r="S26" s="235">
        <v>783</v>
      </c>
      <c r="T26" s="235">
        <v>1250</v>
      </c>
      <c r="U26" s="235">
        <v>868</v>
      </c>
      <c r="V26" s="235">
        <v>1277</v>
      </c>
      <c r="W26" s="235">
        <v>1303</v>
      </c>
      <c r="X26" s="216">
        <f t="shared" si="1"/>
      </c>
      <c r="Y26" s="235">
        <v>1500</v>
      </c>
      <c r="Z26" s="235">
        <v>1300</v>
      </c>
      <c r="AA26" s="235">
        <v>1340</v>
      </c>
      <c r="AB26" s="235">
        <v>1260</v>
      </c>
      <c r="AC26" s="235">
        <v>1650</v>
      </c>
      <c r="AD26" s="235">
        <v>1550</v>
      </c>
      <c r="AE26" s="235">
        <v>1300</v>
      </c>
      <c r="AF26" s="235">
        <v>1250</v>
      </c>
      <c r="AG26" s="235">
        <v>1250</v>
      </c>
      <c r="AH26" s="235"/>
    </row>
    <row customHeight="true" ht="13" r="27">
      <c r="A27" cm="1">
        <f t="array" ref="A27:A27">_xlfn.XLOOKUP(H27,'历史月度销量'!C:C,'历史月度销量'!C:C)</f>
      </c>
      <c r="B27" s="209" t="s">
        <v>452</v>
      </c>
      <c r="C27" s="209" t="s">
        <v>453</v>
      </c>
      <c r="D27" s="209" t="s">
        <v>469</v>
      </c>
      <c r="E27" s="209" t="s">
        <v>455</v>
      </c>
      <c r="F27" s="209" t="s">
        <v>549</v>
      </c>
      <c r="G27" s="243" t="s">
        <v>558</v>
      </c>
      <c r="H27" s="209" t="s">
        <v>559</v>
      </c>
      <c r="I27" s="209" t="s">
        <v>560</v>
      </c>
      <c r="J27" s="209">
        <v>45</v>
      </c>
      <c r="K27" s="209"/>
      <c r="L27" s="223" t="s">
        <v>553</v>
      </c>
      <c r="M27" s="239" t="s">
        <v>462</v>
      </c>
      <c r="N27" s="221" t="s">
        <v>463</v>
      </c>
      <c r="O27" s="244">
        <v>8334</v>
      </c>
      <c r="P27" s="245">
        <v>0.805855531557475</v>
      </c>
      <c r="Q27" s="212">
        <v>21800.6208333333</v>
      </c>
      <c r="R27" s="212">
        <v>1135</v>
      </c>
      <c r="S27" s="212">
        <v>1288</v>
      </c>
      <c r="T27" s="212">
        <v>1487</v>
      </c>
      <c r="U27" s="212">
        <v>828</v>
      </c>
      <c r="V27" s="212">
        <v>1103</v>
      </c>
      <c r="W27" s="246">
        <v>904</v>
      </c>
      <c r="X27" s="216">
        <f t="shared" si="1"/>
      </c>
      <c r="Y27" s="246">
        <v>1500</v>
      </c>
      <c r="Z27" s="212">
        <v>1200</v>
      </c>
      <c r="AA27" s="212">
        <v>1200</v>
      </c>
      <c r="AB27" s="212">
        <v>1200</v>
      </c>
      <c r="AC27" s="212">
        <v>1550</v>
      </c>
      <c r="AD27" s="212">
        <v>1200</v>
      </c>
      <c r="AE27" s="212">
        <v>1200</v>
      </c>
      <c r="AF27" s="212">
        <v>1200</v>
      </c>
      <c r="AG27" s="212">
        <v>1250</v>
      </c>
      <c r="AH27" s="212"/>
    </row>
    <row customHeight="true" ht="13" r="28">
      <c r="A28" cm="1">
        <f t="array" ref="A28:A28">_xlfn.XLOOKUP(H28,'历史月度销量'!C:C,'历史月度销量'!C:C)</f>
      </c>
      <c r="B28" s="209" t="s">
        <v>452</v>
      </c>
      <c r="C28" s="209" t="s">
        <v>453</v>
      </c>
      <c r="D28" s="209" t="s">
        <v>469</v>
      </c>
      <c r="E28" s="209" t="s">
        <v>455</v>
      </c>
      <c r="F28" s="209" t="s">
        <v>549</v>
      </c>
      <c r="G28" s="243" t="s">
        <v>561</v>
      </c>
      <c r="H28" s="209" t="s">
        <v>562</v>
      </c>
      <c r="I28" s="209" t="s">
        <v>563</v>
      </c>
      <c r="J28" s="209">
        <v>5</v>
      </c>
      <c r="K28" s="209"/>
      <c r="L28" s="223" t="s">
        <v>564</v>
      </c>
      <c r="M28" s="239" t="s">
        <v>462</v>
      </c>
      <c r="N28" s="246" t="s">
        <v>463</v>
      </c>
      <c r="O28" s="247">
        <v>60330</v>
      </c>
      <c r="P28" s="248">
        <v>0.866755432115924</v>
      </c>
      <c r="Q28" s="212">
        <v>112621.355219554</v>
      </c>
      <c r="R28" s="212">
        <v>5875</v>
      </c>
      <c r="S28" s="212">
        <v>4586</v>
      </c>
      <c r="T28" s="212">
        <v>5870</v>
      </c>
      <c r="U28" s="212">
        <v>5551</v>
      </c>
      <c r="V28" s="212">
        <v>5686</v>
      </c>
      <c r="W28" s="212">
        <v>5248</v>
      </c>
      <c r="X28" s="216">
        <f t="shared" si="1"/>
      </c>
      <c r="Y28" s="246">
        <v>6500</v>
      </c>
      <c r="Z28" s="212">
        <v>6500</v>
      </c>
      <c r="AA28" s="212">
        <v>6500</v>
      </c>
      <c r="AB28" s="212">
        <v>7000</v>
      </c>
      <c r="AC28" s="212">
        <v>8000</v>
      </c>
      <c r="AD28" s="212">
        <v>8000</v>
      </c>
      <c r="AE28" s="212">
        <v>7000</v>
      </c>
      <c r="AF28" s="212">
        <v>6500</v>
      </c>
      <c r="AG28" s="212">
        <v>6500</v>
      </c>
      <c r="AH28" s="212"/>
    </row>
    <row customHeight="true" ht="13" r="29">
      <c r="A29" cm="1">
        <f t="array" ref="A29:A29">_xlfn.XLOOKUP(H29,'历史月度销量'!C:C,'历史月度销量'!C:C)</f>
      </c>
      <c r="B29" s="209" t="s">
        <v>452</v>
      </c>
      <c r="C29" s="209" t="s">
        <v>453</v>
      </c>
      <c r="D29" s="209" t="s">
        <v>523</v>
      </c>
      <c r="E29" s="209" t="s">
        <v>506</v>
      </c>
      <c r="F29" s="209" t="s">
        <v>549</v>
      </c>
      <c r="G29" s="243" t="s">
        <v>565</v>
      </c>
      <c r="H29" s="209" t="s">
        <v>566</v>
      </c>
      <c r="I29" s="209" t="s">
        <v>567</v>
      </c>
      <c r="J29" s="209">
        <v>3</v>
      </c>
      <c r="K29" s="209"/>
      <c r="L29" s="223" t="s">
        <v>564</v>
      </c>
      <c r="M29" s="239" t="s">
        <v>462</v>
      </c>
      <c r="N29" s="221" t="s">
        <v>463</v>
      </c>
      <c r="O29" s="247">
        <v>5830</v>
      </c>
      <c r="P29" s="248">
        <v>1.50039387268916</v>
      </c>
      <c r="Q29" s="212">
        <v>14577.2962777778</v>
      </c>
      <c r="R29" s="212">
        <v>730</v>
      </c>
      <c r="S29" s="212">
        <v>667</v>
      </c>
      <c r="T29" s="212">
        <v>727</v>
      </c>
      <c r="U29" s="249">
        <v>621</v>
      </c>
      <c r="V29" s="212">
        <v>602</v>
      </c>
      <c r="W29" s="212">
        <v>476</v>
      </c>
      <c r="X29" s="216">
        <f t="shared" si="1"/>
      </c>
      <c r="Y29" s="246">
        <v>800</v>
      </c>
      <c r="Z29" s="212">
        <v>800</v>
      </c>
      <c r="AA29" s="212">
        <v>850</v>
      </c>
      <c r="AB29" s="212">
        <v>900</v>
      </c>
      <c r="AC29" s="212">
        <v>1000</v>
      </c>
      <c r="AD29" s="212">
        <v>1000</v>
      </c>
      <c r="AE29" s="212">
        <v>1000</v>
      </c>
      <c r="AF29" s="212">
        <v>950</v>
      </c>
      <c r="AG29" s="212">
        <v>950</v>
      </c>
      <c r="AH29" s="212"/>
    </row>
    <row customHeight="true" ht="13" r="30">
      <c r="A30" cm="1">
        <f t="array" ref="A30:A30">_xlfn.XLOOKUP(H30,'历史月度销量'!C:C,'历史月度销量'!C:C)</f>
      </c>
      <c r="B30" s="209" t="s">
        <v>452</v>
      </c>
      <c r="C30" s="209" t="s">
        <v>453</v>
      </c>
      <c r="D30" s="209" t="s">
        <v>469</v>
      </c>
      <c r="E30" s="209" t="s">
        <v>455</v>
      </c>
      <c r="F30" s="209" t="s">
        <v>549</v>
      </c>
      <c r="G30" s="243" t="s">
        <v>568</v>
      </c>
      <c r="H30" s="209" t="s">
        <v>562</v>
      </c>
      <c r="I30" s="209" t="s">
        <v>569</v>
      </c>
      <c r="J30" s="209">
        <v>40</v>
      </c>
      <c r="K30" s="209" t="s">
        <v>570</v>
      </c>
      <c r="L30" s="223" t="s">
        <v>537</v>
      </c>
      <c r="M30" s="239" t="s">
        <v>546</v>
      </c>
      <c r="N30" s="246" t="s">
        <v>463</v>
      </c>
      <c r="O30" s="247"/>
      <c r="P30" s="250" t="str">
        <v>#DIV/0!</v>
      </c>
      <c r="Q30" s="212">
        <v>7355.08130325815</v>
      </c>
      <c r="R30" s="251">
        <v>971</v>
      </c>
      <c r="S30" s="251">
        <v>1267</v>
      </c>
      <c r="T30" s="252">
        <v>1057</v>
      </c>
      <c r="U30" s="253">
        <v>778</v>
      </c>
      <c r="V30" s="254"/>
      <c r="W30" s="212"/>
      <c r="X30" s="216">
        <f t="shared" si="1"/>
      </c>
      <c r="Y30" s="246"/>
      <c r="Z30" s="212"/>
      <c r="AA30" s="212"/>
      <c r="AB30" s="212"/>
      <c r="AC30" s="212"/>
      <c r="AD30" s="212"/>
      <c r="AE30" s="212"/>
      <c r="AF30" s="212"/>
      <c r="AG30" s="212"/>
      <c r="AH30" s="212"/>
    </row>
    <row customHeight="true" ht="13" r="31">
      <c r="A31" cm="1">
        <f t="array" ref="A31:A31">_xlfn.XLOOKUP(H31,'历史月度销量'!C:C,'历史月度销量'!C:C)</f>
      </c>
      <c r="B31" s="209" t="s">
        <v>452</v>
      </c>
      <c r="C31" s="209" t="s">
        <v>453</v>
      </c>
      <c r="D31" s="209" t="s">
        <v>469</v>
      </c>
      <c r="E31" s="209" t="s">
        <v>455</v>
      </c>
      <c r="F31" s="209" t="s">
        <v>549</v>
      </c>
      <c r="G31" s="243" t="s">
        <v>571</v>
      </c>
      <c r="H31" s="209" t="s">
        <v>572</v>
      </c>
      <c r="I31" s="209" t="s">
        <v>573</v>
      </c>
      <c r="J31" s="209">
        <v>40</v>
      </c>
      <c r="K31" s="209"/>
      <c r="L31" s="223" t="s">
        <v>537</v>
      </c>
      <c r="M31" s="239" t="s">
        <v>546</v>
      </c>
      <c r="N31" s="246" t="s">
        <v>463</v>
      </c>
      <c r="O31" s="247"/>
      <c r="P31" s="250" t="str">
        <v>#DIV/0!</v>
      </c>
      <c r="Q31" s="212">
        <v>2087.61899122807</v>
      </c>
      <c r="R31" s="212"/>
      <c r="S31" s="212">
        <v>114</v>
      </c>
      <c r="T31" s="212">
        <v>233</v>
      </c>
      <c r="U31" s="212">
        <v>259</v>
      </c>
      <c r="V31" s="212"/>
      <c r="W31" s="212"/>
      <c r="X31" s="216">
        <f t="shared" si="1"/>
      </c>
      <c r="Y31" s="246"/>
      <c r="Z31" s="212"/>
      <c r="AA31" s="212"/>
      <c r="AB31" s="212"/>
      <c r="AC31" s="212"/>
      <c r="AD31" s="212"/>
      <c r="AE31" s="212"/>
      <c r="AF31" s="212"/>
      <c r="AG31" s="212"/>
      <c r="AH31" s="212"/>
    </row>
    <row customHeight="true" ht="13" r="32">
      <c r="A32" cm="1">
        <f t="array" ref="A32:A32">_xlfn.XLOOKUP(H32,'历史月度销量'!C:C,'历史月度销量'!C:C)</f>
      </c>
      <c r="B32" s="209" t="s">
        <v>452</v>
      </c>
      <c r="C32" s="209" t="s">
        <v>453</v>
      </c>
      <c r="D32" s="209" t="s">
        <v>469</v>
      </c>
      <c r="E32" s="209" t="s">
        <v>455</v>
      </c>
      <c r="F32" s="209" t="s">
        <v>549</v>
      </c>
      <c r="G32" s="243" t="s">
        <v>574</v>
      </c>
      <c r="H32" s="209" t="s">
        <v>575</v>
      </c>
      <c r="I32" s="209" t="s">
        <v>576</v>
      </c>
      <c r="J32" s="209"/>
      <c r="K32" s="209"/>
      <c r="L32" s="223" t="s">
        <v>553</v>
      </c>
      <c r="M32" s="239" t="s">
        <v>546</v>
      </c>
      <c r="N32" s="246" t="s">
        <v>463</v>
      </c>
      <c r="O32" s="255"/>
      <c r="P32" s="250" t="str">
        <v>#DIV/0!</v>
      </c>
      <c r="Q32" s="212">
        <v>933.1904</v>
      </c>
      <c r="R32" s="234"/>
      <c r="S32" s="212">
        <v>4</v>
      </c>
      <c r="T32" s="212">
        <v>119</v>
      </c>
      <c r="U32" s="212"/>
      <c r="V32" s="234"/>
      <c r="W32" s="234"/>
      <c r="X32" s="216">
        <f t="shared" si="1"/>
      </c>
      <c r="Y32" s="256"/>
      <c r="Z32" s="234"/>
      <c r="AA32" s="234"/>
      <c r="AB32" s="234"/>
      <c r="AC32" s="234"/>
      <c r="AD32" s="234"/>
      <c r="AE32" s="219"/>
      <c r="AF32" s="216"/>
      <c r="AG32" s="216"/>
      <c r="AH32" s="234"/>
    </row>
    <row customHeight="true" ht="13" r="33">
      <c r="A33" cm="1">
        <f t="array" ref="A33:A33">_xlfn.XLOOKUP(H33,'历史月度销量'!C:C,'历史月度销量'!C:C)</f>
      </c>
      <c r="B33" s="209" t="s">
        <v>452</v>
      </c>
      <c r="C33" s="209" t="s">
        <v>453</v>
      </c>
      <c r="D33" s="209" t="s">
        <v>469</v>
      </c>
      <c r="E33" s="209" t="s">
        <v>455</v>
      </c>
      <c r="F33" s="209" t="s">
        <v>549</v>
      </c>
      <c r="G33" s="243" t="s">
        <v>577</v>
      </c>
      <c r="H33" s="209" t="s">
        <v>578</v>
      </c>
      <c r="I33" s="209" t="s">
        <v>579</v>
      </c>
      <c r="J33" s="209">
        <v>15</v>
      </c>
      <c r="K33" s="209"/>
      <c r="L33" s="223" t="s">
        <v>537</v>
      </c>
      <c r="M33" s="239" t="s">
        <v>546</v>
      </c>
      <c r="N33" s="212" t="s">
        <v>463</v>
      </c>
      <c r="O33" s="257"/>
      <c r="P33" s="250" t="str">
        <v>#DIV/0!</v>
      </c>
      <c r="Q33" s="212">
        <v>3297.72523941379</v>
      </c>
      <c r="R33" s="212"/>
      <c r="S33" s="212"/>
      <c r="T33" s="251"/>
      <c r="U33" s="258">
        <v>258</v>
      </c>
      <c r="V33" s="246">
        <v>600</v>
      </c>
      <c r="W33" s="212"/>
      <c r="X33" s="216">
        <f t="shared" si="1"/>
      </c>
      <c r="Y33" s="246"/>
      <c r="Z33" s="212"/>
      <c r="AA33" s="212"/>
      <c r="AB33" s="212"/>
      <c r="AC33" s="212"/>
      <c r="AD33" s="212"/>
      <c r="AE33" s="219"/>
      <c r="AF33" s="216"/>
      <c r="AG33" s="216"/>
      <c r="AH33" s="212"/>
    </row>
    <row customHeight="true" ht="13" r="34">
      <c r="A34" cm="1">
        <f t="array" ref="A34:A34">_xlfn.XLOOKUP(H34,'历史月度销量'!C:C,'历史月度销量'!C:C)</f>
      </c>
      <c r="B34" s="209" t="s">
        <v>452</v>
      </c>
      <c r="C34" s="209" t="s">
        <v>453</v>
      </c>
      <c r="D34" s="209" t="s">
        <v>469</v>
      </c>
      <c r="E34" s="209" t="s">
        <v>455</v>
      </c>
      <c r="F34" s="209" t="s">
        <v>549</v>
      </c>
      <c r="G34" s="243" t="s">
        <v>561</v>
      </c>
      <c r="H34" s="209" t="s">
        <v>562</v>
      </c>
      <c r="I34" s="209" t="s">
        <v>580</v>
      </c>
      <c r="J34" s="209"/>
      <c r="K34" s="209"/>
      <c r="L34" s="223" t="s">
        <v>581</v>
      </c>
      <c r="M34" s="239" t="s">
        <v>546</v>
      </c>
      <c r="N34" s="212" t="s">
        <v>463</v>
      </c>
      <c r="O34" s="259"/>
      <c r="P34" s="250" t="str">
        <v>#DIV/0!</v>
      </c>
      <c r="Q34" s="260" t="str">
        <v>#DIV/0!</v>
      </c>
      <c r="R34" s="251"/>
      <c r="S34" s="251">
        <v>41</v>
      </c>
      <c r="T34" s="251">
        <v>37</v>
      </c>
      <c r="U34" s="261"/>
      <c r="V34" s="261"/>
      <c r="W34" s="262"/>
      <c r="X34" s="216">
        <f t="shared" si="1"/>
      </c>
      <c r="Y34" s="263"/>
      <c r="Z34" s="262"/>
      <c r="AA34" s="262"/>
      <c r="AB34" s="262"/>
      <c r="AC34" s="262"/>
      <c r="AD34" s="262"/>
      <c r="AE34" s="262"/>
      <c r="AF34" s="262"/>
      <c r="AG34" s="262"/>
      <c r="AH34" s="262"/>
    </row>
    <row customHeight="true" ht="13" r="35">
      <c r="A35" cm="1">
        <f t="array" ref="A35:A35">_xlfn.XLOOKUP(H35,'历史月度销量'!C:C,'历史月度销量'!C:C)</f>
      </c>
      <c r="B35" s="209" t="s">
        <v>452</v>
      </c>
      <c r="C35" s="209" t="s">
        <v>453</v>
      </c>
      <c r="D35" s="209" t="s">
        <v>454</v>
      </c>
      <c r="E35" s="209" t="s">
        <v>455</v>
      </c>
      <c r="F35" s="209" t="s">
        <v>456</v>
      </c>
      <c r="G35" s="243" t="s">
        <v>582</v>
      </c>
      <c r="H35" s="209" t="s">
        <v>583</v>
      </c>
      <c r="I35" s="209" t="s">
        <v>584</v>
      </c>
      <c r="J35" s="209"/>
      <c r="K35" s="209"/>
      <c r="L35" s="223" t="s">
        <v>537</v>
      </c>
      <c r="M35" s="239" t="s">
        <v>546</v>
      </c>
      <c r="N35" s="212" t="s">
        <v>463</v>
      </c>
      <c r="O35" s="264"/>
      <c r="P35" s="265" t="str">
        <v>#DIV/0!</v>
      </c>
      <c r="Q35" s="266">
        <v>1449.18571428571</v>
      </c>
      <c r="R35" s="267"/>
      <c r="S35" s="267"/>
      <c r="T35" s="268"/>
      <c r="U35" s="251">
        <v>91</v>
      </c>
      <c r="V35" s="221"/>
      <c r="W35" s="269"/>
      <c r="X35" s="216">
        <f t="shared" si="1"/>
      </c>
      <c r="Y35" s="270"/>
      <c r="Z35" s="269"/>
      <c r="AA35" s="251">
        <v>175</v>
      </c>
      <c r="AB35" s="251">
        <v>585</v>
      </c>
      <c r="AC35" s="251">
        <v>108</v>
      </c>
      <c r="AD35" s="269"/>
      <c r="AE35" s="269"/>
      <c r="AF35" s="269"/>
      <c r="AG35" s="269"/>
      <c r="AH35" s="269"/>
    </row>
    <row customHeight="true" ht="13" r="36">
      <c r="A36" cm="1">
        <f t="array" ref="A36:A36">_xlfn.XLOOKUP(H36,'历史月度销量'!C:C,'历史月度销量'!C:C)</f>
      </c>
      <c r="B36" s="209" t="s">
        <v>452</v>
      </c>
      <c r="C36" s="209" t="s">
        <v>453</v>
      </c>
      <c r="D36" s="209" t="s">
        <v>454</v>
      </c>
      <c r="E36" s="209" t="s">
        <v>455</v>
      </c>
      <c r="F36" s="209" t="s">
        <v>456</v>
      </c>
      <c r="G36" s="249" t="s">
        <v>585</v>
      </c>
      <c r="H36" s="209" t="s">
        <v>586</v>
      </c>
      <c r="I36" s="209" t="s">
        <v>587</v>
      </c>
      <c r="J36" s="209">
        <v>50</v>
      </c>
      <c r="K36" s="209"/>
      <c r="L36" s="223" t="s">
        <v>533</v>
      </c>
      <c r="M36" s="239" t="s">
        <v>546</v>
      </c>
      <c r="N36" s="212" t="s">
        <v>463</v>
      </c>
      <c r="O36" s="264"/>
      <c r="P36" s="265" t="str">
        <v>#DIV/0!</v>
      </c>
      <c r="Q36" s="267">
        <v>976</v>
      </c>
      <c r="R36" s="267"/>
      <c r="S36" s="267"/>
      <c r="T36" s="268"/>
      <c r="U36" s="251"/>
      <c r="V36" s="221"/>
      <c r="W36" s="271"/>
      <c r="X36" s="216">
        <f t="shared" si="1"/>
      </c>
      <c r="Y36" s="271">
        <v>527</v>
      </c>
      <c r="Z36" s="271">
        <v>390</v>
      </c>
      <c r="AA36" s="269"/>
      <c r="AB36" s="269"/>
      <c r="AC36" s="269"/>
      <c r="AD36" s="269"/>
      <c r="AE36" s="269"/>
      <c r="AF36" s="269"/>
      <c r="AG36" s="269"/>
      <c r="AH36" s="269"/>
    </row>
    <row customHeight="true" ht="42" r="37">
      <c r="A37" cm="1">
        <f t="array" ref="A37:A37">_xlfn.XLOOKUP(H37,'历史月度销量'!C:C,'历史月度销量'!C:C)</f>
      </c>
      <c r="B37" s="272" t="s">
        <v>452</v>
      </c>
      <c r="C37" s="209" t="s">
        <v>453</v>
      </c>
      <c r="D37" s="209" t="s">
        <v>454</v>
      </c>
      <c r="E37" s="209" t="s">
        <v>455</v>
      </c>
      <c r="F37" s="209" t="s">
        <v>456</v>
      </c>
      <c r="G37" s="243" t="s">
        <v>588</v>
      </c>
      <c r="H37" s="223" t="s">
        <v>589</v>
      </c>
      <c r="I37" s="223" t="s">
        <v>590</v>
      </c>
      <c r="J37" s="273"/>
      <c r="K37" s="254"/>
      <c r="L37" s="223" t="s">
        <v>484</v>
      </c>
      <c r="M37" s="239" t="s">
        <v>546</v>
      </c>
      <c r="N37" s="246" t="s">
        <v>463</v>
      </c>
      <c r="O37" s="247"/>
      <c r="P37" s="250" t="str">
        <v>#DIV/0!</v>
      </c>
      <c r="Q37" s="212" t="str">
        <v>#DIV/0!</v>
      </c>
      <c r="R37" s="212"/>
      <c r="S37" s="212"/>
      <c r="T37" s="212"/>
      <c r="U37" s="212"/>
      <c r="V37" s="212"/>
      <c r="W37" s="212">
        <v>236</v>
      </c>
      <c r="X37" s="216">
        <f>IFERROR(_xlfn.XLOOKUP(G:G,'[1]Sheet1'!$F:$F,'[1]Sheet1'!$AJ:$AJ),136)</f>
      </c>
      <c r="Y37" s="212">
        <v>400</v>
      </c>
      <c r="Z37" s="212">
        <v>400</v>
      </c>
      <c r="AA37" s="212">
        <v>600</v>
      </c>
      <c r="AB37" s="212">
        <v>800</v>
      </c>
      <c r="AC37" s="212">
        <v>3000</v>
      </c>
      <c r="AD37" s="212">
        <v>700</v>
      </c>
      <c r="AE37" s="212"/>
      <c r="AF37" s="212"/>
      <c r="AG37" s="212"/>
      <c r="AH37" s="212"/>
    </row>
    <row customHeight="true" ht="32" r="38">
      <c r="A38" cm="1">
        <f t="array" ref="A38:A38">_xlfn.XLOOKUP(H38,'历史月度销量'!C:C,'历史月度销量'!C:C)</f>
      </c>
      <c r="B38" s="272" t="s">
        <v>452</v>
      </c>
      <c r="C38" s="209" t="s">
        <v>453</v>
      </c>
      <c r="D38" s="209"/>
      <c r="E38" s="209" t="s">
        <v>455</v>
      </c>
      <c r="F38" s="209" t="s">
        <v>456</v>
      </c>
      <c r="G38" s="243" t="s">
        <v>591</v>
      </c>
      <c r="H38" s="223" t="s">
        <v>589</v>
      </c>
      <c r="I38" s="223"/>
      <c r="J38" s="273"/>
      <c r="K38" s="254"/>
      <c r="L38" s="223"/>
      <c r="M38" s="239" t="s">
        <v>546</v>
      </c>
      <c r="N38" s="221" t="s">
        <v>463</v>
      </c>
      <c r="O38" s="247"/>
      <c r="P38" s="250" t="str">
        <v>#DIV/0!</v>
      </c>
      <c r="Q38" s="212" t="str">
        <v>#DIV/0!</v>
      </c>
      <c r="R38" s="212"/>
      <c r="S38" s="212"/>
      <c r="T38" s="212"/>
      <c r="U38" s="212"/>
      <c r="V38" s="212"/>
      <c r="W38" s="212"/>
      <c r="X38" s="216">
        <f t="shared" ref="X38:X57" si="2">IFERROR(_xlfn.XLOOKUP(G:G,'[1]Sheet1'!$F:$F,'[1]Sheet1'!$AJ:$AJ),0)</f>
      </c>
      <c r="Y38" s="246"/>
      <c r="Z38" s="212"/>
      <c r="AA38" s="212"/>
      <c r="AB38" s="212"/>
      <c r="AC38" s="212"/>
      <c r="AD38" s="212"/>
      <c r="AE38" s="212"/>
      <c r="AF38" s="212"/>
      <c r="AG38" s="212">
        <v>550</v>
      </c>
      <c r="AH38" s="212"/>
    </row>
    <row customHeight="true" ht="32" r="39">
      <c r="A39" cm="1">
        <f t="array" ref="A39:A39">_xlfn.XLOOKUP(H39,'历史月度销量'!C:C,'历史月度销量'!C:C)</f>
      </c>
      <c r="B39" s="272" t="s">
        <v>452</v>
      </c>
      <c r="C39" s="209" t="s">
        <v>453</v>
      </c>
      <c r="D39" s="209"/>
      <c r="E39" s="209" t="s">
        <v>455</v>
      </c>
      <c r="F39" s="209" t="s">
        <v>456</v>
      </c>
      <c r="G39" s="243" t="s">
        <v>592</v>
      </c>
      <c r="H39" s="223" t="s">
        <v>589</v>
      </c>
      <c r="I39" s="223"/>
      <c r="J39" s="273"/>
      <c r="K39" s="254"/>
      <c r="L39" s="223"/>
      <c r="M39" s="239" t="s">
        <v>546</v>
      </c>
      <c r="N39" s="246" t="s">
        <v>463</v>
      </c>
      <c r="O39" s="247"/>
      <c r="P39" s="250" t="str">
        <v>#DIV/0!</v>
      </c>
      <c r="Q39" s="212" t="str">
        <v>#DIV/0!</v>
      </c>
      <c r="R39" s="212"/>
      <c r="S39" s="212"/>
      <c r="T39" s="212"/>
      <c r="U39" s="212"/>
      <c r="V39" s="212"/>
      <c r="W39" s="212"/>
      <c r="X39" s="216">
        <f t="shared" si="2"/>
      </c>
      <c r="Y39" s="246"/>
      <c r="Z39" s="212"/>
      <c r="AA39" s="212"/>
      <c r="AB39" s="212"/>
      <c r="AC39" s="212"/>
      <c r="AD39" s="212"/>
      <c r="AE39" s="212"/>
      <c r="AF39" s="212"/>
      <c r="AG39" s="212">
        <v>550</v>
      </c>
      <c r="AH39" s="212"/>
    </row>
    <row customHeight="true" ht="32" r="40">
      <c r="A40" cm="1">
        <f t="array" ref="A40:A40">_xlfn.XLOOKUP(H40,'历史月度销量'!C:C,'历史月度销量'!C:C)</f>
      </c>
      <c r="B40" s="272" t="s">
        <v>452</v>
      </c>
      <c r="C40" s="209" t="s">
        <v>453</v>
      </c>
      <c r="D40" s="209"/>
      <c r="E40" s="209" t="s">
        <v>455</v>
      </c>
      <c r="F40" s="209" t="s">
        <v>456</v>
      </c>
      <c r="G40" s="243" t="s">
        <v>593</v>
      </c>
      <c r="H40" s="223" t="s">
        <v>589</v>
      </c>
      <c r="I40" s="223"/>
      <c r="J40" s="273"/>
      <c r="K40" s="254"/>
      <c r="L40" s="223"/>
      <c r="M40" s="239" t="s">
        <v>546</v>
      </c>
      <c r="N40" s="246" t="s">
        <v>463</v>
      </c>
      <c r="O40" s="247"/>
      <c r="P40" s="250" t="str">
        <v>#DIV/0!</v>
      </c>
      <c r="Q40" s="212" t="str">
        <v>#DIV/0!</v>
      </c>
      <c r="R40" s="212"/>
      <c r="S40" s="212"/>
      <c r="T40" s="212"/>
      <c r="U40" s="212"/>
      <c r="V40" s="212"/>
      <c r="W40" s="212"/>
      <c r="X40" s="216">
        <f t="shared" si="2"/>
      </c>
      <c r="Y40" s="246">
        <v>1000</v>
      </c>
      <c r="Z40" s="212"/>
      <c r="AA40" s="212"/>
      <c r="AB40" s="212"/>
      <c r="AC40" s="212"/>
      <c r="AD40" s="212"/>
      <c r="AE40" s="212"/>
      <c r="AF40" s="212"/>
      <c r="AG40" s="212"/>
      <c r="AH40" s="212"/>
    </row>
    <row customHeight="true" ht="32" r="41">
      <c r="A41" cm="1">
        <f t="array" ref="A41:A41">_xlfn.XLOOKUP(H41,'历史月度销量'!C:C,'历史月度销量'!C:C)</f>
      </c>
      <c r="B41" s="272" t="s">
        <v>452</v>
      </c>
      <c r="C41" s="209" t="s">
        <v>453</v>
      </c>
      <c r="D41" s="209"/>
      <c r="E41" s="209" t="s">
        <v>455</v>
      </c>
      <c r="F41" s="209" t="s">
        <v>456</v>
      </c>
      <c r="G41" s="243" t="s">
        <v>594</v>
      </c>
      <c r="H41" s="223" t="s">
        <v>589</v>
      </c>
      <c r="I41" s="223"/>
      <c r="J41" s="273"/>
      <c r="K41" s="254"/>
      <c r="L41" s="223"/>
      <c r="M41" s="239" t="s">
        <v>546</v>
      </c>
      <c r="N41" s="246" t="s">
        <v>463</v>
      </c>
      <c r="O41" s="247"/>
      <c r="P41" s="250" t="str">
        <v>#DIV/0!</v>
      </c>
      <c r="Q41" s="212" t="str">
        <v>#DIV/0!</v>
      </c>
      <c r="R41" s="212"/>
      <c r="S41" s="212"/>
      <c r="T41" s="212"/>
      <c r="U41" s="212"/>
      <c r="V41" s="212"/>
      <c r="W41" s="212"/>
      <c r="X41" s="216">
        <f t="shared" si="2"/>
      </c>
      <c r="Y41" s="246">
        <v>1000</v>
      </c>
      <c r="Z41" s="212"/>
      <c r="AA41" s="212"/>
      <c r="AB41" s="212"/>
      <c r="AC41" s="212"/>
      <c r="AD41" s="212"/>
      <c r="AE41" s="212"/>
      <c r="AF41" s="212"/>
      <c r="AG41" s="212"/>
      <c r="AH41" s="212"/>
    </row>
    <row customHeight="true" ht="32" r="42">
      <c r="A42" cm="1">
        <f t="array" ref="A42:A42">_xlfn.XLOOKUP(H42,'历史月度销量'!C:C,'历史月度销量'!C:C)</f>
      </c>
      <c r="B42" s="272" t="s">
        <v>452</v>
      </c>
      <c r="C42" s="209" t="s">
        <v>453</v>
      </c>
      <c r="D42" s="209"/>
      <c r="E42" s="209" t="s">
        <v>455</v>
      </c>
      <c r="F42" s="209" t="s">
        <v>456</v>
      </c>
      <c r="G42" s="243" t="s">
        <v>595</v>
      </c>
      <c r="H42" s="223" t="s">
        <v>589</v>
      </c>
      <c r="I42" s="223"/>
      <c r="J42" s="273"/>
      <c r="K42" s="254"/>
      <c r="L42" s="223"/>
      <c r="M42" s="239" t="s">
        <v>546</v>
      </c>
      <c r="N42" s="246" t="s">
        <v>463</v>
      </c>
      <c r="O42" s="247"/>
      <c r="P42" s="250" t="str">
        <v>#DIV/0!</v>
      </c>
      <c r="Q42" s="212" t="str">
        <v>#DIV/0!</v>
      </c>
      <c r="R42" s="212"/>
      <c r="S42" s="212"/>
      <c r="T42" s="212"/>
      <c r="U42" s="212"/>
      <c r="V42" s="212"/>
      <c r="W42" s="212"/>
      <c r="X42" s="216">
        <f t="shared" si="2"/>
      </c>
      <c r="Y42" s="246"/>
      <c r="Z42" s="212"/>
      <c r="AA42" s="212"/>
      <c r="AB42" s="212">
        <v>1500</v>
      </c>
      <c r="AC42" s="212"/>
      <c r="AD42" s="212"/>
      <c r="AE42" s="212"/>
      <c r="AF42" s="212"/>
      <c r="AG42" s="212"/>
      <c r="AH42" s="212"/>
    </row>
    <row customHeight="true" ht="32" r="43">
      <c r="A43" cm="1">
        <f t="array" ref="A43:A43">_xlfn.XLOOKUP(H43,'历史月度销量'!C:C,'历史月度销量'!C:C)</f>
      </c>
      <c r="B43" s="272" t="s">
        <v>452</v>
      </c>
      <c r="C43" s="209" t="s">
        <v>453</v>
      </c>
      <c r="D43" s="209"/>
      <c r="E43" s="209" t="s">
        <v>455</v>
      </c>
      <c r="F43" s="209" t="s">
        <v>456</v>
      </c>
      <c r="G43" s="243" t="s">
        <v>596</v>
      </c>
      <c r="H43" s="223" t="s">
        <v>589</v>
      </c>
      <c r="I43" s="223"/>
      <c r="J43" s="273"/>
      <c r="K43" s="254"/>
      <c r="L43" s="223"/>
      <c r="M43" s="239" t="s">
        <v>546</v>
      </c>
      <c r="N43" s="246" t="s">
        <v>463</v>
      </c>
      <c r="O43" s="247"/>
      <c r="P43" s="250" t="str">
        <v>#DIV/0!</v>
      </c>
      <c r="Q43" s="212" t="str">
        <v>#DIV/0!</v>
      </c>
      <c r="R43" s="212"/>
      <c r="S43" s="212"/>
      <c r="T43" s="212"/>
      <c r="U43" s="212"/>
      <c r="V43" s="212"/>
      <c r="W43" s="212"/>
      <c r="X43" s="216">
        <f t="shared" si="2"/>
      </c>
      <c r="Y43" s="246"/>
      <c r="Z43" s="212"/>
      <c r="AA43" s="212"/>
      <c r="AB43" s="212"/>
      <c r="AC43" s="212"/>
      <c r="AD43" s="212"/>
      <c r="AE43" s="219">
        <v>300</v>
      </c>
      <c r="AF43" s="216">
        <v>510</v>
      </c>
      <c r="AG43" s="216">
        <v>900</v>
      </c>
      <c r="AH43" s="212"/>
    </row>
    <row customHeight="true" ht="32" r="44">
      <c r="A44" cm="1">
        <f t="array" ref="A44:A44">_xlfn.XLOOKUP(H44,'历史月度销量'!C:C,'历史月度销量'!C:C)</f>
      </c>
      <c r="B44" s="272" t="s">
        <v>452</v>
      </c>
      <c r="C44" s="209" t="s">
        <v>453</v>
      </c>
      <c r="D44" s="209"/>
      <c r="E44" s="209" t="s">
        <v>506</v>
      </c>
      <c r="F44" s="209" t="s">
        <v>456</v>
      </c>
      <c r="G44" s="243" t="s">
        <v>596</v>
      </c>
      <c r="H44" s="223" t="s">
        <v>589</v>
      </c>
      <c r="I44" s="223"/>
      <c r="J44" s="273"/>
      <c r="K44" s="254"/>
      <c r="L44" s="223"/>
      <c r="M44" s="239" t="s">
        <v>546</v>
      </c>
      <c r="N44" s="246" t="s">
        <v>463</v>
      </c>
      <c r="O44" s="247"/>
      <c r="P44" s="250" t="str">
        <v>#DIV/0!</v>
      </c>
      <c r="Q44" s="212" t="str">
        <v>#DIV/0!</v>
      </c>
      <c r="R44" s="212"/>
      <c r="S44" s="212"/>
      <c r="T44" s="212"/>
      <c r="U44" s="212"/>
      <c r="V44" s="212"/>
      <c r="W44" s="212"/>
      <c r="X44" s="216">
        <f t="shared" si="2"/>
      </c>
      <c r="Y44" s="246"/>
      <c r="Z44" s="212"/>
      <c r="AA44" s="212"/>
      <c r="AB44" s="212"/>
      <c r="AC44" s="212"/>
      <c r="AD44" s="212"/>
      <c r="AE44" s="219">
        <v>100</v>
      </c>
      <c r="AF44" s="216">
        <v>100</v>
      </c>
      <c r="AG44" s="216">
        <v>200</v>
      </c>
      <c r="AH44" s="212"/>
    </row>
    <row customHeight="true" ht="32" r="45">
      <c r="A45" cm="1">
        <f t="array" ref="A45:A45">_xlfn.XLOOKUP(H45,'历史月度销量'!C:C,'历史月度销量'!C:C)</f>
      </c>
      <c r="B45" s="272" t="s">
        <v>452</v>
      </c>
      <c r="C45" s="209" t="s">
        <v>453</v>
      </c>
      <c r="D45" s="209"/>
      <c r="E45" s="209" t="s">
        <v>455</v>
      </c>
      <c r="F45" s="209" t="s">
        <v>456</v>
      </c>
      <c r="G45" s="243" t="s">
        <v>597</v>
      </c>
      <c r="H45" s="223" t="s">
        <v>589</v>
      </c>
      <c r="I45" s="223"/>
      <c r="J45" s="273"/>
      <c r="K45" s="254"/>
      <c r="L45" s="223"/>
      <c r="M45" s="239" t="s">
        <v>546</v>
      </c>
      <c r="N45" s="246" t="s">
        <v>463</v>
      </c>
      <c r="O45" s="247"/>
      <c r="P45" s="250" t="str">
        <v>#DIV/0!</v>
      </c>
      <c r="Q45" s="212" t="str">
        <v>#DIV/0!</v>
      </c>
      <c r="R45" s="212"/>
      <c r="S45" s="212"/>
      <c r="T45" s="212"/>
      <c r="U45" s="212"/>
      <c r="V45" s="212"/>
      <c r="W45" s="212"/>
      <c r="X45" s="216">
        <f t="shared" si="2"/>
      </c>
      <c r="Y45" s="246"/>
      <c r="Z45" s="212"/>
      <c r="AA45" s="212"/>
      <c r="AB45" s="212">
        <v>1000</v>
      </c>
      <c r="AC45" s="212"/>
      <c r="AD45" s="212"/>
      <c r="AE45" s="219"/>
      <c r="AF45" s="216"/>
      <c r="AG45" s="216"/>
      <c r="AH45" s="212"/>
    </row>
    <row customHeight="true" ht="32" r="46">
      <c r="A46" cm="1">
        <f t="array" ref="A46:A46">_xlfn.XLOOKUP(H46,'历史月度销量'!C:C,'历史月度销量'!C:C)</f>
      </c>
      <c r="B46" s="272" t="s">
        <v>452</v>
      </c>
      <c r="C46" s="209" t="s">
        <v>453</v>
      </c>
      <c r="D46" s="209"/>
      <c r="E46" s="209" t="s">
        <v>455</v>
      </c>
      <c r="F46" s="209" t="s">
        <v>549</v>
      </c>
      <c r="G46" s="243" t="s">
        <v>598</v>
      </c>
      <c r="H46" s="223" t="s">
        <v>589</v>
      </c>
      <c r="I46" s="223"/>
      <c r="J46" s="273"/>
      <c r="K46" s="254"/>
      <c r="L46" s="223"/>
      <c r="M46" s="239"/>
      <c r="N46" s="246" t="s">
        <v>463</v>
      </c>
      <c r="O46" s="247"/>
      <c r="P46" s="250" t="str">
        <v>#DIV/0!</v>
      </c>
      <c r="Q46" s="212" t="str">
        <v>#DIV/0!</v>
      </c>
      <c r="R46" s="212"/>
      <c r="S46" s="212"/>
      <c r="T46" s="212"/>
      <c r="U46" s="212"/>
      <c r="V46" s="212"/>
      <c r="W46" s="212"/>
      <c r="X46" s="216">
        <f t="shared" si="2"/>
      </c>
      <c r="Y46" s="212">
        <v>1000</v>
      </c>
      <c r="Z46" s="212"/>
      <c r="AA46" s="212"/>
      <c r="AB46" s="212"/>
      <c r="AC46" s="212"/>
      <c r="AD46" s="212"/>
      <c r="AE46" s="219"/>
      <c r="AF46" s="216"/>
      <c r="AG46" s="216"/>
      <c r="AH46" s="212"/>
    </row>
    <row customHeight="true" ht="32" r="47">
      <c r="A47" cm="1">
        <f t="array" ref="A47:A47">_xlfn.XLOOKUP(H47,'历史月度销量'!C:C,'历史月度销量'!C:C)</f>
      </c>
      <c r="B47" s="272" t="s">
        <v>452</v>
      </c>
      <c r="C47" s="209" t="s">
        <v>453</v>
      </c>
      <c r="D47" s="209"/>
      <c r="E47" s="209" t="s">
        <v>455</v>
      </c>
      <c r="F47" s="209" t="s">
        <v>549</v>
      </c>
      <c r="G47" s="243" t="s">
        <v>599</v>
      </c>
      <c r="H47" s="223" t="s">
        <v>589</v>
      </c>
      <c r="I47" s="223"/>
      <c r="J47" s="273"/>
      <c r="K47" s="254"/>
      <c r="L47" s="223"/>
      <c r="M47" s="239" t="s">
        <v>546</v>
      </c>
      <c r="N47" s="246" t="s">
        <v>463</v>
      </c>
      <c r="O47" s="247"/>
      <c r="P47" s="250" t="str">
        <v>#DIV/0!</v>
      </c>
      <c r="Q47" s="212" t="str">
        <v>#DIV/0!</v>
      </c>
      <c r="R47" s="212"/>
      <c r="S47" s="212"/>
      <c r="T47" s="212"/>
      <c r="U47" s="212"/>
      <c r="V47" s="212"/>
      <c r="W47" s="212"/>
      <c r="X47" s="216">
        <f t="shared" si="2"/>
      </c>
      <c r="Y47" s="212"/>
      <c r="Z47" s="212">
        <v>1000</v>
      </c>
      <c r="AA47" s="212"/>
      <c r="AB47" s="212"/>
      <c r="AC47" s="212"/>
      <c r="AD47" s="212"/>
      <c r="AE47" s="219"/>
      <c r="AF47" s="216"/>
      <c r="AG47" s="216"/>
      <c r="AH47" s="212"/>
    </row>
    <row customHeight="true" ht="32" r="48">
      <c r="A48" cm="1">
        <f t="array" ref="A48:A48">_xlfn.XLOOKUP(H48,'历史月度销量'!C:C,'历史月度销量'!C:C)</f>
      </c>
      <c r="B48" s="272" t="s">
        <v>452</v>
      </c>
      <c r="C48" s="209" t="s">
        <v>453</v>
      </c>
      <c r="D48" s="209"/>
      <c r="E48" s="209" t="s">
        <v>455</v>
      </c>
      <c r="F48" s="209" t="s">
        <v>549</v>
      </c>
      <c r="G48" s="243" t="s">
        <v>600</v>
      </c>
      <c r="H48" s="223" t="s">
        <v>589</v>
      </c>
      <c r="I48" s="223"/>
      <c r="J48" s="273"/>
      <c r="K48" s="254"/>
      <c r="L48" s="223"/>
      <c r="M48" s="239" t="s">
        <v>546</v>
      </c>
      <c r="N48" s="246" t="s">
        <v>463</v>
      </c>
      <c r="O48" s="247"/>
      <c r="P48" s="250" t="str">
        <v>#DIV/0!</v>
      </c>
      <c r="Q48" s="212" t="str">
        <v>#DIV/0!</v>
      </c>
      <c r="R48" s="212"/>
      <c r="S48" s="212"/>
      <c r="T48" s="212"/>
      <c r="U48" s="212"/>
      <c r="V48" s="212"/>
      <c r="W48" s="212"/>
      <c r="X48" s="216">
        <f t="shared" si="2"/>
      </c>
      <c r="Y48" s="246"/>
      <c r="Z48" s="212">
        <v>1000</v>
      </c>
      <c r="AA48" s="212"/>
      <c r="AB48" s="212"/>
      <c r="AC48" s="212"/>
      <c r="AD48" s="212"/>
      <c r="AE48" s="219"/>
      <c r="AF48" s="216"/>
      <c r="AG48" s="216"/>
      <c r="AH48" s="212"/>
    </row>
    <row customHeight="true" ht="42" r="49">
      <c r="A49" cm="1">
        <f t="array" ref="A49:A49">_xlfn.XLOOKUP(H49,'历史月度销量'!C:C,'历史月度销量'!C:C)</f>
      </c>
      <c r="B49" s="274" t="s">
        <v>452</v>
      </c>
      <c r="C49" s="212" t="s">
        <v>453</v>
      </c>
      <c r="D49" s="212"/>
      <c r="E49" s="212" t="s">
        <v>455</v>
      </c>
      <c r="F49" s="212" t="s">
        <v>549</v>
      </c>
      <c r="G49" s="243" t="s">
        <v>601</v>
      </c>
      <c r="H49" s="223" t="s">
        <v>589</v>
      </c>
      <c r="I49" s="212"/>
      <c r="J49" s="273"/>
      <c r="K49" s="254"/>
      <c r="L49" s="212"/>
      <c r="M49" s="254" t="s">
        <v>546</v>
      </c>
      <c r="N49" s="212" t="s">
        <v>463</v>
      </c>
      <c r="O49" s="247"/>
      <c r="P49" s="234" t="str">
        <v>#DIV/0!</v>
      </c>
      <c r="Q49" s="212" t="str">
        <v>#DIV/0!</v>
      </c>
      <c r="R49" s="212"/>
      <c r="S49" s="212"/>
      <c r="T49" s="212"/>
      <c r="U49" s="212"/>
      <c r="V49" s="212"/>
      <c r="W49" s="212"/>
      <c r="X49" s="216">
        <f t="shared" si="2"/>
      </c>
      <c r="Y49" s="212"/>
      <c r="Z49" s="212"/>
      <c r="AA49" s="212"/>
      <c r="AB49" s="212"/>
      <c r="AC49" s="212"/>
      <c r="AD49" s="212"/>
      <c r="AE49" s="212">
        <v>1200</v>
      </c>
      <c r="AF49" s="212">
        <v>1200</v>
      </c>
      <c r="AG49" s="212">
        <v>1200</v>
      </c>
      <c r="AH49" s="212"/>
    </row>
    <row customHeight="true" ht="21" r="50">
      <c r="A50" cm="1">
        <f t="array" ref="A50:A50">_xlfn.XLOOKUP(H50,'历史月度销量'!C:C,'历史月度销量'!C:C)</f>
      </c>
      <c r="B50" s="274" t="s">
        <v>452</v>
      </c>
      <c r="C50" s="212" t="s">
        <v>453</v>
      </c>
      <c r="D50" s="212"/>
      <c r="E50" s="212" t="s">
        <v>455</v>
      </c>
      <c r="F50" s="212" t="s">
        <v>549</v>
      </c>
      <c r="G50" s="243" t="s">
        <v>602</v>
      </c>
      <c r="H50" s="223" t="s">
        <v>589</v>
      </c>
      <c r="I50" s="212"/>
      <c r="J50" s="273"/>
      <c r="K50" s="254"/>
      <c r="L50" s="212"/>
      <c r="M50" s="254" t="s">
        <v>546</v>
      </c>
      <c r="N50" s="212" t="s">
        <v>463</v>
      </c>
      <c r="O50" s="247"/>
      <c r="P50" s="234" t="str">
        <v>#DIV/0!</v>
      </c>
      <c r="Q50" s="212" t="str">
        <v>#DIV/0!</v>
      </c>
      <c r="R50" s="212"/>
      <c r="S50" s="212"/>
      <c r="T50" s="212"/>
      <c r="U50" s="212"/>
      <c r="V50" s="212"/>
      <c r="W50" s="212"/>
      <c r="X50" s="216">
        <f t="shared" si="2"/>
      </c>
      <c r="Y50" s="212"/>
      <c r="Z50" s="212"/>
      <c r="AA50" s="212"/>
      <c r="AB50" s="212">
        <v>1000</v>
      </c>
      <c r="AC50" s="212"/>
      <c r="AD50" s="212"/>
      <c r="AE50" s="212"/>
      <c r="AF50" s="212"/>
      <c r="AG50" s="212"/>
      <c r="AH50" s="212"/>
    </row>
    <row customHeight="true" ht="13" r="51">
      <c r="A51" cm="1">
        <f t="array" ref="A51:A51">_xlfn.XLOOKUP(H51,'历史月度销量'!C:C,'历史月度销量'!C:C)</f>
      </c>
      <c r="B51" s="272"/>
      <c r="C51" s="209"/>
      <c r="D51" s="209"/>
      <c r="E51" s="209"/>
      <c r="F51" s="209"/>
      <c r="G51" s="243" t="s">
        <v>603</v>
      </c>
      <c r="H51" s="223" t="s">
        <v>589</v>
      </c>
      <c r="I51" s="212" t="s">
        <v>604</v>
      </c>
      <c r="J51" s="273"/>
      <c r="K51" s="254"/>
      <c r="L51" s="212" t="s">
        <v>553</v>
      </c>
      <c r="M51" s="254" t="s">
        <v>546</v>
      </c>
      <c r="N51" s="246" t="s">
        <v>463</v>
      </c>
      <c r="O51" s="247"/>
      <c r="P51" s="250"/>
      <c r="Q51" s="212">
        <v>928</v>
      </c>
      <c r="R51" s="249"/>
      <c r="S51" s="275"/>
      <c r="T51" s="275"/>
      <c r="U51" s="275"/>
      <c r="V51" s="275"/>
      <c r="W51" s="275"/>
      <c r="X51" s="216">
        <f t="shared" si="2"/>
      </c>
      <c r="Y51" s="216"/>
      <c r="Z51" s="216">
        <v>336</v>
      </c>
      <c r="AA51" s="231">
        <v>592</v>
      </c>
      <c r="AB51" s="212"/>
      <c r="AC51" s="212"/>
      <c r="AD51" s="212"/>
      <c r="AE51" s="212"/>
      <c r="AF51" s="212"/>
      <c r="AG51" s="212"/>
      <c r="AH51" s="249"/>
    </row>
    <row customHeight="true" ht="13" r="52">
      <c r="A52" cm="1">
        <f t="array" ref="A52:A52">_xlfn.XLOOKUP(H52,'历史月度销量'!C:C,'历史月度销量'!C:C)</f>
      </c>
      <c r="B52" s="272"/>
      <c r="C52" s="209"/>
      <c r="D52" s="209"/>
      <c r="E52" s="209"/>
      <c r="F52" s="209"/>
      <c r="G52" s="243" t="s">
        <v>605</v>
      </c>
      <c r="H52" s="223" t="s">
        <v>589</v>
      </c>
      <c r="I52" s="212" t="s">
        <v>606</v>
      </c>
      <c r="J52" s="273"/>
      <c r="K52" s="254"/>
      <c r="L52" s="212" t="s">
        <v>553</v>
      </c>
      <c r="M52" s="254" t="s">
        <v>546</v>
      </c>
      <c r="N52" s="246" t="s">
        <v>463</v>
      </c>
      <c r="O52" s="247"/>
      <c r="P52" s="250"/>
      <c r="Q52" s="212">
        <v>520</v>
      </c>
      <c r="R52" s="249"/>
      <c r="S52" s="275"/>
      <c r="T52" s="275"/>
      <c r="U52" s="275"/>
      <c r="V52" s="275"/>
      <c r="W52" s="275"/>
      <c r="X52" s="216">
        <f t="shared" si="2"/>
      </c>
      <c r="Y52" s="216"/>
      <c r="Z52" s="216">
        <v>308</v>
      </c>
      <c r="AA52" s="231">
        <v>212</v>
      </c>
      <c r="AB52" s="212"/>
      <c r="AC52" s="212"/>
      <c r="AD52" s="212"/>
      <c r="AE52" s="212"/>
      <c r="AF52" s="212"/>
      <c r="AG52" s="212"/>
      <c r="AH52" s="249"/>
    </row>
    <row customHeight="true" ht="13" r="53">
      <c r="A53" cm="1">
        <f t="array" ref="A53:A53">_xlfn.XLOOKUP(H53,'历史月度销量'!C:C,'历史月度销量'!C:C)</f>
      </c>
      <c r="B53" s="272" t="s">
        <v>452</v>
      </c>
      <c r="C53" s="209" t="s">
        <v>453</v>
      </c>
      <c r="D53" s="209" t="s">
        <v>454</v>
      </c>
      <c r="E53" s="209" t="s">
        <v>455</v>
      </c>
      <c r="F53" s="209" t="s">
        <v>456</v>
      </c>
      <c r="G53" s="243" t="s">
        <v>607</v>
      </c>
      <c r="H53" s="223" t="s">
        <v>608</v>
      </c>
      <c r="I53" s="223" t="s">
        <v>609</v>
      </c>
      <c r="J53" s="273" t="s">
        <v>610</v>
      </c>
      <c r="K53" s="254"/>
      <c r="L53" s="223" t="s">
        <v>533</v>
      </c>
      <c r="M53" s="239" t="s">
        <v>546</v>
      </c>
      <c r="N53" s="246" t="s">
        <v>463</v>
      </c>
      <c r="O53" s="247"/>
      <c r="P53" s="250" t="str">
        <v>#DIV/0!</v>
      </c>
      <c r="Q53" s="212">
        <v>0</v>
      </c>
      <c r="R53" s="249"/>
      <c r="S53" s="275"/>
      <c r="T53" s="275"/>
      <c r="U53" s="275"/>
      <c r="V53" s="275"/>
      <c r="W53" s="275"/>
      <c r="X53" s="216">
        <f t="shared" si="2"/>
      </c>
      <c r="Y53" s="216">
        <v>44</v>
      </c>
      <c r="Z53" s="216">
        <v>595</v>
      </c>
      <c r="AA53" s="231">
        <v>206</v>
      </c>
      <c r="AB53" s="212"/>
      <c r="AC53" s="212"/>
      <c r="AD53" s="212"/>
      <c r="AE53" s="212"/>
      <c r="AF53" s="212"/>
      <c r="AG53" s="212"/>
      <c r="AH53" s="249"/>
    </row>
    <row customHeight="true" ht="13" r="54">
      <c r="A54" cm="1">
        <f t="array" ref="A54:A54">_xlfn.XLOOKUP(H54,'历史月度销量'!C:C,'历史月度销量'!C:C)</f>
      </c>
      <c r="B54" s="272" t="s">
        <v>452</v>
      </c>
      <c r="C54" s="209" t="s">
        <v>453</v>
      </c>
      <c r="D54" s="209" t="s">
        <v>454</v>
      </c>
      <c r="E54" s="209" t="s">
        <v>455</v>
      </c>
      <c r="F54" s="209" t="s">
        <v>456</v>
      </c>
      <c r="G54" s="243" t="s">
        <v>611</v>
      </c>
      <c r="H54" s="223" t="s">
        <v>589</v>
      </c>
      <c r="I54" s="223" t="s">
        <v>611</v>
      </c>
      <c r="J54" s="273" t="s">
        <v>610</v>
      </c>
      <c r="K54" s="254"/>
      <c r="L54" s="223" t="s">
        <v>533</v>
      </c>
      <c r="M54" s="239" t="s">
        <v>546</v>
      </c>
      <c r="N54" s="246" t="s">
        <v>463</v>
      </c>
      <c r="O54" s="247"/>
      <c r="P54" s="250" t="str">
        <v>#DIV/0!</v>
      </c>
      <c r="Q54" s="212">
        <v>0</v>
      </c>
      <c r="R54" s="249"/>
      <c r="S54" s="275"/>
      <c r="T54" s="275"/>
      <c r="U54" s="275"/>
      <c r="V54" s="275"/>
      <c r="W54" s="275"/>
      <c r="X54" s="216">
        <f t="shared" si="2"/>
      </c>
      <c r="Y54" s="216">
        <v>44</v>
      </c>
      <c r="Z54" s="216">
        <v>392</v>
      </c>
      <c r="AA54" s="231">
        <v>0</v>
      </c>
      <c r="AB54" s="212"/>
      <c r="AC54" s="212"/>
      <c r="AD54" s="212"/>
      <c r="AE54" s="212"/>
      <c r="AF54" s="212"/>
      <c r="AG54" s="212"/>
      <c r="AH54" s="249"/>
    </row>
    <row customHeight="true" ht="13" r="55">
      <c r="A55" cm="1">
        <f t="array" ref="A55:A55">_xlfn.XLOOKUP(H55,'历史月度销量'!C:C,'历史月度销量'!C:C)</f>
      </c>
      <c r="B55" s="272" t="s">
        <v>452</v>
      </c>
      <c r="C55" s="209" t="s">
        <v>453</v>
      </c>
      <c r="D55" s="209" t="s">
        <v>454</v>
      </c>
      <c r="E55" s="209" t="s">
        <v>455</v>
      </c>
      <c r="F55" s="209" t="s">
        <v>456</v>
      </c>
      <c r="G55" s="243" t="s">
        <v>612</v>
      </c>
      <c r="H55" s="223" t="s">
        <v>613</v>
      </c>
      <c r="I55" s="223" t="s">
        <v>614</v>
      </c>
      <c r="J55" s="273" t="s">
        <v>610</v>
      </c>
      <c r="K55" s="254"/>
      <c r="L55" s="223" t="s">
        <v>533</v>
      </c>
      <c r="M55" s="239" t="s">
        <v>546</v>
      </c>
      <c r="N55" s="246" t="s">
        <v>463</v>
      </c>
      <c r="O55" s="247"/>
      <c r="P55" s="250" t="str">
        <v>#DIV/0!</v>
      </c>
      <c r="Q55" s="212">
        <v>0</v>
      </c>
      <c r="R55" s="249"/>
      <c r="S55" s="275"/>
      <c r="T55" s="275"/>
      <c r="U55" s="275"/>
      <c r="V55" s="275"/>
      <c r="W55" s="275"/>
      <c r="X55" s="216">
        <f t="shared" si="2"/>
      </c>
      <c r="Y55" s="216">
        <v>44</v>
      </c>
      <c r="Z55" s="216">
        <v>470</v>
      </c>
      <c r="AA55" s="231">
        <v>137</v>
      </c>
      <c r="AB55" s="212"/>
      <c r="AC55" s="212"/>
      <c r="AD55" s="212"/>
      <c r="AE55" s="212"/>
      <c r="AF55" s="212"/>
      <c r="AG55" s="212"/>
      <c r="AH55" s="249"/>
    </row>
    <row customHeight="true" ht="13" r="56">
      <c r="A56" cm="1">
        <f t="array" ref="A56:A56">_xlfn.XLOOKUP(H56,'历史月度销量'!C:C,'历史月度销量'!C:C)</f>
      </c>
      <c r="B56" s="272" t="s">
        <v>452</v>
      </c>
      <c r="C56" s="209" t="s">
        <v>453</v>
      </c>
      <c r="D56" s="209" t="s">
        <v>454</v>
      </c>
      <c r="E56" s="209" t="s">
        <v>455</v>
      </c>
      <c r="F56" s="209" t="s">
        <v>456</v>
      </c>
      <c r="G56" s="243" t="s">
        <v>615</v>
      </c>
      <c r="H56" s="223" t="s">
        <v>608</v>
      </c>
      <c r="I56" s="223" t="s">
        <v>615</v>
      </c>
      <c r="J56" s="273" t="s">
        <v>610</v>
      </c>
      <c r="K56" s="254"/>
      <c r="L56" s="223" t="s">
        <v>533</v>
      </c>
      <c r="M56" s="239" t="s">
        <v>546</v>
      </c>
      <c r="N56" s="246" t="s">
        <v>463</v>
      </c>
      <c r="O56" s="247"/>
      <c r="P56" s="250" t="str">
        <v>#DIV/0!</v>
      </c>
      <c r="Q56" s="212">
        <v>0</v>
      </c>
      <c r="R56" s="249"/>
      <c r="S56" s="275"/>
      <c r="T56" s="275"/>
      <c r="U56" s="275"/>
      <c r="V56" s="275"/>
      <c r="W56" s="275"/>
      <c r="X56" s="216">
        <f t="shared" si="2"/>
      </c>
      <c r="Y56" s="216"/>
      <c r="Z56" s="216">
        <v>145</v>
      </c>
      <c r="AA56" s="216">
        <v>1010</v>
      </c>
      <c r="AB56" s="231">
        <v>366</v>
      </c>
      <c r="AC56" s="212"/>
      <c r="AD56" s="212"/>
      <c r="AE56" s="212"/>
      <c r="AF56" s="212"/>
      <c r="AG56" s="212"/>
      <c r="AH56" s="249"/>
    </row>
    <row customHeight="true" ht="13" r="57">
      <c r="A57" cm="1">
        <f t="array" ref="A57:A57">_xlfn.XLOOKUP(H57,'历史月度销量'!C:C,'历史月度销量'!C:C)</f>
      </c>
      <c r="B57" s="209" t="s">
        <v>452</v>
      </c>
      <c r="C57" s="209" t="s">
        <v>453</v>
      </c>
      <c r="D57" s="209" t="s">
        <v>469</v>
      </c>
      <c r="E57" s="209" t="s">
        <v>455</v>
      </c>
      <c r="F57" s="209" t="s">
        <v>549</v>
      </c>
      <c r="G57" s="243" t="s">
        <v>616</v>
      </c>
      <c r="H57" s="223" t="s">
        <v>617</v>
      </c>
      <c r="I57" s="243" t="s">
        <v>616</v>
      </c>
      <c r="J57" s="273"/>
      <c r="K57" s="254"/>
      <c r="L57" s="223" t="s">
        <v>564</v>
      </c>
      <c r="M57" s="239"/>
      <c r="N57" s="212" t="s">
        <v>463</v>
      </c>
      <c r="O57" s="259"/>
      <c r="P57" s="250"/>
      <c r="Q57" s="276">
        <v>972</v>
      </c>
      <c r="R57" s="277"/>
      <c r="S57" s="261"/>
      <c r="T57" s="262"/>
      <c r="U57" s="262"/>
      <c r="V57" s="262"/>
      <c r="W57" s="262"/>
      <c r="X57" s="216">
        <f t="shared" si="2"/>
      </c>
      <c r="Y57" s="262"/>
      <c r="Z57" s="276">
        <v>412</v>
      </c>
      <c r="AA57" s="276">
        <v>560</v>
      </c>
      <c r="AB57" s="249"/>
      <c r="AC57" s="249"/>
      <c r="AD57" s="249"/>
      <c r="AE57" s="249"/>
      <c r="AF57" s="249"/>
      <c r="AG57" s="249"/>
      <c r="AH57" s="249"/>
    </row>
    <row r="58">
      <c r="R58" s="278"/>
      <c r="S58" s="278"/>
      <c r="T58" s="278"/>
      <c r="U58" s="278"/>
      <c r="V58" s="278"/>
      <c r="W58" s="278"/>
      <c r="X58" s="278"/>
    </row>
    <row r="59">
      <c r="R59" s="278"/>
      <c r="S59" s="278"/>
      <c r="T59" s="278"/>
      <c r="U59" s="278"/>
      <c r="V59" s="278"/>
      <c r="W59" s="278"/>
      <c r="X59" s="278"/>
    </row>
    <row r="60">
      <c r="R60" s="278"/>
      <c r="S60" s="278"/>
      <c r="T60" s="278"/>
      <c r="U60" s="278"/>
      <c r="V60" s="278"/>
      <c r="W60" s="278"/>
      <c r="X60" s="278"/>
    </row>
    <row r="61">
      <c r="R61" s="278"/>
      <c r="S61" s="278"/>
      <c r="T61" s="278"/>
      <c r="U61" s="278"/>
      <c r="V61" s="278"/>
      <c r="W61" s="278"/>
      <c r="X61" s="278"/>
    </row>
    <row r="62">
      <c r="R62" s="278"/>
      <c r="S62" s="278"/>
      <c r="T62" s="278"/>
      <c r="U62" s="278"/>
      <c r="V62" s="278"/>
      <c r="W62" s="278"/>
      <c r="X62" s="278"/>
    </row>
    <row r="63">
      <c r="R63" s="278"/>
      <c r="S63" s="278"/>
      <c r="T63" s="278"/>
      <c r="U63" s="278"/>
      <c r="V63" s="278"/>
      <c r="W63" s="278"/>
      <c r="X63" s="278"/>
    </row>
    <row r="64">
      <c r="R64" s="278"/>
      <c r="S64" s="278"/>
      <c r="T64" s="278"/>
      <c r="U64" s="278"/>
      <c r="V64" s="278"/>
      <c r="W64" s="278"/>
      <c r="X64" s="278"/>
    </row>
    <row r="65">
      <c r="R65" s="278"/>
      <c r="S65" s="278"/>
      <c r="T65" s="278"/>
      <c r="U65" s="278"/>
      <c r="V65" s="278"/>
      <c r="W65" s="278"/>
      <c r="X65" s="278"/>
    </row>
    <row r="66">
      <c r="R66" s="278"/>
      <c r="S66" s="278"/>
      <c r="T66" s="278"/>
      <c r="U66" s="278"/>
      <c r="V66" s="278"/>
      <c r="W66" s="278"/>
      <c r="X66" s="278"/>
    </row>
    <row r="67">
      <c r="R67" s="278"/>
      <c r="S67" s="278"/>
      <c r="T67" s="278"/>
      <c r="U67" s="278"/>
      <c r="V67" s="278"/>
      <c r="W67" s="278"/>
      <c r="X67" s="278"/>
    </row>
    <row r="68">
      <c r="R68" s="278"/>
      <c r="S68" s="278"/>
      <c r="T68" s="278"/>
      <c r="U68" s="278"/>
      <c r="V68" s="278"/>
      <c r="W68" s="278"/>
      <c r="X68" s="278"/>
    </row>
    <row r="69">
      <c r="R69" s="278"/>
      <c r="S69" s="278"/>
      <c r="T69" s="278"/>
      <c r="U69" s="278"/>
      <c r="V69" s="278"/>
      <c r="W69" s="278"/>
      <c r="X69" s="278"/>
    </row>
    <row r="70">
      <c r="R70" s="278"/>
      <c r="S70" s="278"/>
      <c r="T70" s="278"/>
      <c r="U70" s="278"/>
      <c r="V70" s="278"/>
      <c r="W70" s="278"/>
      <c r="X70" s="278"/>
    </row>
    <row r="71">
      <c r="R71" s="278"/>
      <c r="S71" s="278"/>
      <c r="T71" s="278"/>
      <c r="U71" s="278"/>
      <c r="V71" s="278"/>
      <c r="W71" s="278"/>
      <c r="X71" s="278"/>
    </row>
    <row r="72">
      <c r="R72" s="278"/>
      <c r="S72" s="278"/>
      <c r="T72" s="278"/>
      <c r="U72" s="278"/>
      <c r="V72" s="278"/>
      <c r="W72" s="278"/>
      <c r="X72" s="278"/>
    </row>
    <row r="73">
      <c r="R73" s="278"/>
      <c r="S73" s="278"/>
      <c r="T73" s="278"/>
      <c r="U73" s="278"/>
      <c r="V73" s="278"/>
      <c r="W73" s="278"/>
      <c r="X73" s="278"/>
    </row>
    <row r="74">
      <c r="R74" s="278"/>
      <c r="S74" s="278"/>
      <c r="T74" s="278"/>
      <c r="U74" s="278"/>
      <c r="V74" s="278"/>
      <c r="W74" s="278"/>
      <c r="X74" s="278"/>
    </row>
    <row r="75">
      <c r="R75" s="278"/>
      <c r="S75" s="278"/>
      <c r="T75" s="278"/>
      <c r="U75" s="278"/>
      <c r="V75" s="278"/>
      <c r="W75" s="278"/>
      <c r="X75" s="278"/>
    </row>
    <row r="76">
      <c r="R76" s="278"/>
      <c r="S76" s="278"/>
      <c r="T76" s="278"/>
      <c r="U76" s="278"/>
      <c r="V76" s="278"/>
      <c r="W76" s="278"/>
      <c r="X76" s="278"/>
    </row>
    <row r="77">
      <c r="R77" s="278"/>
      <c r="S77" s="278"/>
      <c r="T77" s="278"/>
      <c r="U77" s="278"/>
      <c r="V77" s="278"/>
      <c r="W77" s="278"/>
      <c r="X77" s="278"/>
    </row>
    <row r="78">
      <c r="R78" s="278"/>
      <c r="S78" s="278"/>
      <c r="T78" s="278"/>
      <c r="U78" s="278"/>
      <c r="V78" s="278"/>
      <c r="W78" s="278"/>
      <c r="X78" s="278"/>
    </row>
    <row r="79">
      <c r="R79" s="278"/>
      <c r="S79" s="278"/>
      <c r="T79" s="278"/>
      <c r="U79" s="278"/>
      <c r="V79" s="278"/>
      <c r="W79" s="278"/>
      <c r="X79" s="278"/>
    </row>
    <row r="80">
      <c r="R80" s="278"/>
      <c r="S80" s="278"/>
      <c r="T80" s="278"/>
      <c r="U80" s="278"/>
      <c r="V80" s="278"/>
      <c r="W80" s="278"/>
      <c r="X80" s="278"/>
    </row>
    <row r="81">
      <c r="R81" s="278"/>
      <c r="S81" s="278"/>
      <c r="T81" s="278"/>
      <c r="U81" s="278"/>
      <c r="V81" s="278"/>
      <c r="W81" s="278"/>
      <c r="X81" s="278"/>
    </row>
    <row r="82">
      <c r="R82" s="278"/>
      <c r="S82" s="278"/>
      <c r="T82" s="278"/>
      <c r="U82" s="278"/>
      <c r="V82" s="278"/>
      <c r="W82" s="278"/>
      <c r="X82" s="278"/>
    </row>
    <row r="83">
      <c r="R83" s="278"/>
      <c r="S83" s="278"/>
      <c r="T83" s="278"/>
      <c r="U83" s="278"/>
      <c r="V83" s="278"/>
      <c r="W83" s="278"/>
      <c r="X83" s="278"/>
    </row>
    <row r="84">
      <c r="R84" s="278"/>
      <c r="S84" s="278"/>
      <c r="T84" s="278"/>
      <c r="U84" s="278"/>
      <c r="V84" s="278"/>
      <c r="W84" s="278"/>
      <c r="X84" s="278"/>
    </row>
    <row r="85">
      <c r="R85" s="278"/>
      <c r="S85" s="278"/>
      <c r="T85" s="278"/>
      <c r="U85" s="278"/>
      <c r="V85" s="278"/>
      <c r="W85" s="278"/>
      <c r="X85" s="278"/>
    </row>
    <row r="86">
      <c r="R86" s="278"/>
      <c r="S86" s="278"/>
      <c r="T86" s="278"/>
      <c r="U86" s="278"/>
      <c r="V86" s="278"/>
      <c r="W86" s="278"/>
      <c r="X86" s="278"/>
    </row>
    <row r="87">
      <c r="R87" s="278"/>
      <c r="S87" s="278"/>
      <c r="T87" s="278"/>
      <c r="U87" s="278"/>
      <c r="V87" s="278"/>
      <c r="W87" s="278"/>
      <c r="X87" s="278"/>
    </row>
    <row r="88">
      <c r="R88" s="278"/>
      <c r="S88" s="278"/>
      <c r="T88" s="278"/>
      <c r="U88" s="278"/>
      <c r="V88" s="278"/>
      <c r="W88" s="278"/>
      <c r="X88" s="278"/>
    </row>
    <row r="89">
      <c r="R89" s="278"/>
      <c r="S89" s="278"/>
      <c r="T89" s="278"/>
      <c r="U89" s="278"/>
      <c r="V89" s="278"/>
      <c r="W89" s="278"/>
      <c r="X89" s="278"/>
    </row>
    <row r="90">
      <c r="R90" s="278"/>
      <c r="S90" s="278"/>
      <c r="T90" s="278"/>
      <c r="U90" s="278"/>
      <c r="V90" s="278"/>
      <c r="W90" s="278"/>
      <c r="X90" s="278"/>
    </row>
    <row r="91">
      <c r="R91" s="278"/>
      <c r="S91" s="278"/>
      <c r="T91" s="278"/>
      <c r="U91" s="278"/>
      <c r="V91" s="278"/>
      <c r="W91" s="278"/>
      <c r="X91" s="278"/>
    </row>
    <row r="92">
      <c r="R92" s="278"/>
      <c r="S92" s="278"/>
      <c r="T92" s="278"/>
      <c r="U92" s="278"/>
      <c r="V92" s="278"/>
      <c r="W92" s="278"/>
      <c r="X92" s="278"/>
    </row>
    <row r="93">
      <c r="R93" s="278"/>
      <c r="S93" s="278"/>
      <c r="T93" s="278"/>
      <c r="U93" s="278"/>
      <c r="V93" s="278"/>
      <c r="W93" s="278"/>
      <c r="X93" s="278"/>
    </row>
    <row r="94">
      <c r="R94" s="278"/>
      <c r="S94" s="278"/>
      <c r="T94" s="278"/>
      <c r="U94" s="278"/>
      <c r="V94" s="278"/>
      <c r="W94" s="278"/>
      <c r="X94" s="278"/>
    </row>
    <row r="95">
      <c r="R95" s="278"/>
      <c r="S95" s="278"/>
      <c r="T95" s="278"/>
      <c r="U95" s="278"/>
      <c r="V95" s="278"/>
      <c r="W95" s="278"/>
      <c r="X95" s="278"/>
    </row>
    <row r="96">
      <c r="R96" s="278"/>
      <c r="S96" s="278"/>
      <c r="T96" s="278"/>
      <c r="U96" s="278"/>
      <c r="V96" s="278"/>
      <c r="W96" s="278"/>
      <c r="X96" s="278"/>
    </row>
    <row r="97">
      <c r="R97" s="278"/>
      <c r="S97" s="278"/>
      <c r="T97" s="278"/>
      <c r="U97" s="278"/>
      <c r="V97" s="278"/>
      <c r="W97" s="278"/>
      <c r="X97" s="278"/>
    </row>
    <row r="98">
      <c r="R98" s="278"/>
      <c r="S98" s="278"/>
      <c r="T98" s="278"/>
      <c r="U98" s="278"/>
      <c r="V98" s="278"/>
      <c r="W98" s="278"/>
      <c r="X98" s="278"/>
    </row>
    <row r="99">
      <c r="R99" s="278"/>
      <c r="S99" s="278"/>
      <c r="T99" s="278"/>
      <c r="U99" s="278"/>
      <c r="V99" s="278"/>
      <c r="W99" s="278"/>
      <c r="X99" s="278"/>
    </row>
    <row r="100">
      <c r="R100" s="278"/>
      <c r="S100" s="278"/>
      <c r="T100" s="278"/>
      <c r="U100" s="278"/>
      <c r="V100" s="278"/>
      <c r="W100" s="278"/>
      <c r="X100" s="278"/>
    </row>
    <row r="101">
      <c r="R101" s="278"/>
      <c r="S101" s="278"/>
      <c r="T101" s="278"/>
      <c r="U101" s="278"/>
      <c r="V101" s="278"/>
      <c r="W101" s="278"/>
      <c r="X101" s="278"/>
    </row>
    <row r="102">
      <c r="R102" s="278"/>
      <c r="S102" s="278"/>
      <c r="T102" s="278"/>
      <c r="U102" s="278"/>
      <c r="V102" s="278"/>
      <c r="W102" s="278"/>
      <c r="X102" s="278"/>
    </row>
    <row r="103">
      <c r="R103" s="278"/>
      <c r="S103" s="278"/>
      <c r="T103" s="278"/>
      <c r="U103" s="278"/>
      <c r="V103" s="278"/>
      <c r="W103" s="278"/>
      <c r="X103" s="278"/>
    </row>
    <row r="104">
      <c r="R104" s="278"/>
      <c r="S104" s="278"/>
      <c r="T104" s="278"/>
      <c r="U104" s="278"/>
      <c r="V104" s="278"/>
      <c r="W104" s="278"/>
      <c r="X104" s="278"/>
    </row>
    <row r="105">
      <c r="R105" s="278"/>
      <c r="S105" s="278"/>
      <c r="T105" s="278"/>
      <c r="U105" s="278"/>
      <c r="V105" s="278"/>
      <c r="W105" s="278"/>
      <c r="X105" s="278"/>
    </row>
    <row r="106">
      <c r="R106" s="278"/>
      <c r="S106" s="278"/>
      <c r="T106" s="278"/>
      <c r="U106" s="278"/>
      <c r="V106" s="278"/>
      <c r="W106" s="278"/>
      <c r="X106" s="278"/>
    </row>
    <row r="107">
      <c r="R107" s="278"/>
      <c r="S107" s="278"/>
      <c r="T107" s="278"/>
      <c r="U107" s="278"/>
      <c r="V107" s="278"/>
      <c r="W107" s="278"/>
      <c r="X107" s="278"/>
    </row>
    <row r="108">
      <c r="R108" s="278"/>
      <c r="S108" s="278"/>
      <c r="T108" s="278"/>
      <c r="U108" s="278"/>
      <c r="V108" s="278"/>
      <c r="W108" s="278"/>
      <c r="X108" s="278"/>
    </row>
    <row r="109">
      <c r="R109" s="278"/>
      <c r="S109" s="278"/>
      <c r="T109" s="278"/>
      <c r="U109" s="278"/>
      <c r="V109" s="278"/>
      <c r="W109" s="278"/>
      <c r="X109" s="278"/>
    </row>
    <row r="110">
      <c r="R110" s="278"/>
      <c r="S110" s="278"/>
      <c r="T110" s="278"/>
      <c r="U110" s="278"/>
      <c r="V110" s="278"/>
      <c r="W110" s="278"/>
      <c r="X110" s="278"/>
    </row>
    <row r="111">
      <c r="R111" s="278"/>
      <c r="S111" s="278"/>
      <c r="T111" s="278"/>
      <c r="U111" s="278"/>
      <c r="V111" s="278"/>
      <c r="W111" s="278"/>
      <c r="X111" s="278"/>
    </row>
    <row r="112">
      <c r="R112" s="278"/>
      <c r="S112" s="278"/>
      <c r="T112" s="278"/>
      <c r="U112" s="278"/>
      <c r="V112" s="278"/>
      <c r="W112" s="278"/>
      <c r="X112" s="278"/>
    </row>
    <row r="113">
      <c r="R113" s="278"/>
      <c r="S113" s="278"/>
      <c r="T113" s="278"/>
      <c r="U113" s="278"/>
      <c r="V113" s="278"/>
      <c r="W113" s="278"/>
      <c r="X113" s="278"/>
    </row>
    <row r="114">
      <c r="R114" s="278"/>
      <c r="S114" s="278"/>
      <c r="T114" s="278"/>
      <c r="U114" s="278"/>
      <c r="V114" s="278"/>
      <c r="W114" s="278"/>
      <c r="X114" s="278"/>
    </row>
    <row r="115">
      <c r="R115" s="278"/>
      <c r="S115" s="278"/>
      <c r="T115" s="278"/>
      <c r="U115" s="278"/>
      <c r="V115" s="278"/>
      <c r="W115" s="278"/>
      <c r="X115" s="278"/>
    </row>
    <row r="116">
      <c r="R116" s="278"/>
      <c r="S116" s="278"/>
      <c r="T116" s="278"/>
      <c r="U116" s="278"/>
      <c r="V116" s="278"/>
      <c r="W116" s="278"/>
      <c r="X116" s="278"/>
    </row>
    <row r="117">
      <c r="R117" s="278"/>
      <c r="S117" s="278"/>
      <c r="T117" s="278"/>
      <c r="U117" s="278"/>
      <c r="V117" s="278"/>
      <c r="W117" s="278"/>
      <c r="X117" s="278"/>
    </row>
    <row r="118">
      <c r="R118" s="278"/>
      <c r="S118" s="278"/>
      <c r="T118" s="278"/>
      <c r="U118" s="278"/>
      <c r="V118" s="278"/>
      <c r="W118" s="278"/>
      <c r="X118" s="278"/>
    </row>
    <row r="119">
      <c r="R119" s="278"/>
      <c r="S119" s="278"/>
      <c r="T119" s="278"/>
      <c r="U119" s="278"/>
      <c r="V119" s="278"/>
      <c r="W119" s="278"/>
      <c r="X119" s="278"/>
    </row>
    <row r="120">
      <c r="R120" s="278"/>
      <c r="S120" s="278"/>
      <c r="T120" s="278"/>
      <c r="U120" s="278"/>
      <c r="V120" s="278"/>
      <c r="W120" s="278"/>
      <c r="X120" s="278"/>
    </row>
    <row r="121">
      <c r="R121" s="278"/>
      <c r="S121" s="278"/>
      <c r="T121" s="278"/>
      <c r="U121" s="278"/>
      <c r="V121" s="278"/>
      <c r="W121" s="278"/>
      <c r="X121" s="278"/>
    </row>
    <row r="122">
      <c r="R122" s="278"/>
      <c r="S122" s="278"/>
      <c r="T122" s="278"/>
      <c r="U122" s="278"/>
      <c r="V122" s="278"/>
      <c r="W122" s="278"/>
      <c r="X122" s="278"/>
    </row>
    <row r="123">
      <c r="R123" s="278"/>
      <c r="S123" s="278"/>
      <c r="T123" s="278"/>
      <c r="U123" s="278"/>
      <c r="V123" s="278"/>
      <c r="W123" s="278"/>
      <c r="X123" s="278"/>
    </row>
    <row r="124">
      <c r="R124" s="278"/>
      <c r="S124" s="278"/>
      <c r="T124" s="278"/>
      <c r="U124" s="278"/>
      <c r="V124" s="278"/>
      <c r="W124" s="278"/>
      <c r="X124" s="278"/>
    </row>
    <row r="125">
      <c r="R125" s="278"/>
      <c r="S125" s="278"/>
      <c r="T125" s="278"/>
      <c r="U125" s="278"/>
      <c r="V125" s="278"/>
      <c r="W125" s="278"/>
      <c r="X125" s="278"/>
    </row>
    <row r="126">
      <c r="R126" s="278"/>
      <c r="S126" s="278"/>
      <c r="T126" s="278"/>
      <c r="U126" s="278"/>
      <c r="V126" s="278"/>
      <c r="W126" s="278"/>
      <c r="X126" s="278"/>
    </row>
    <row r="127">
      <c r="R127" s="278"/>
      <c r="S127" s="278"/>
      <c r="T127" s="278"/>
      <c r="U127" s="278"/>
      <c r="V127" s="278"/>
      <c r="W127" s="278"/>
      <c r="X127" s="278"/>
    </row>
    <row r="128">
      <c r="R128" s="278"/>
      <c r="S128" s="278"/>
      <c r="T128" s="278"/>
      <c r="U128" s="278"/>
      <c r="V128" s="278"/>
      <c r="W128" s="278"/>
      <c r="X128" s="278"/>
    </row>
    <row r="129">
      <c r="R129" s="278"/>
      <c r="S129" s="278"/>
      <c r="T129" s="278"/>
      <c r="U129" s="278"/>
      <c r="V129" s="278"/>
      <c r="W129" s="278"/>
      <c r="X129" s="278"/>
    </row>
    <row r="130">
      <c r="R130" s="278"/>
      <c r="S130" s="278"/>
      <c r="T130" s="278"/>
      <c r="U130" s="278"/>
      <c r="V130" s="278"/>
      <c r="W130" s="278"/>
      <c r="X130" s="278"/>
    </row>
    <row r="131">
      <c r="R131" s="278"/>
      <c r="S131" s="278"/>
      <c r="T131" s="278"/>
      <c r="U131" s="278"/>
      <c r="V131" s="278"/>
      <c r="W131" s="278"/>
      <c r="X131" s="278"/>
    </row>
    <row r="132">
      <c r="R132" s="278"/>
      <c r="S132" s="278"/>
      <c r="T132" s="278"/>
      <c r="U132" s="278"/>
      <c r="V132" s="278"/>
      <c r="W132" s="278"/>
      <c r="X132" s="278"/>
    </row>
    <row r="133">
      <c r="R133" s="278"/>
      <c r="S133" s="278"/>
      <c r="T133" s="278"/>
      <c r="U133" s="278"/>
      <c r="V133" s="278"/>
      <c r="W133" s="278"/>
      <c r="X133" s="278"/>
    </row>
    <row r="134">
      <c r="R134" s="278"/>
      <c r="S134" s="278"/>
      <c r="T134" s="278"/>
      <c r="U134" s="278"/>
      <c r="V134" s="278"/>
      <c r="W134" s="278"/>
      <c r="X134" s="278"/>
    </row>
    <row r="135">
      <c r="R135" s="278"/>
      <c r="S135" s="278"/>
      <c r="T135" s="278"/>
      <c r="U135" s="278"/>
      <c r="V135" s="278"/>
      <c r="W135" s="278"/>
      <c r="X135" s="278"/>
    </row>
    <row r="136">
      <c r="R136" s="278"/>
      <c r="S136" s="278"/>
      <c r="T136" s="278"/>
      <c r="U136" s="278"/>
      <c r="V136" s="278"/>
      <c r="W136" s="278"/>
      <c r="X136" s="278"/>
    </row>
    <row r="137">
      <c r="R137" s="278"/>
      <c r="S137" s="278"/>
      <c r="T137" s="278"/>
      <c r="U137" s="278"/>
      <c r="V137" s="278"/>
      <c r="W137" s="278"/>
      <c r="X137" s="278"/>
    </row>
    <row r="138">
      <c r="R138" s="278"/>
      <c r="S138" s="278"/>
      <c r="T138" s="278"/>
      <c r="U138" s="278"/>
      <c r="V138" s="278"/>
      <c r="W138" s="278"/>
      <c r="X138" s="278"/>
    </row>
    <row r="139">
      <c r="R139" s="278"/>
      <c r="S139" s="278"/>
      <c r="T139" s="278"/>
      <c r="U139" s="278"/>
      <c r="V139" s="278"/>
      <c r="W139" s="278"/>
      <c r="X139" s="278"/>
    </row>
    <row r="140">
      <c r="R140" s="278"/>
      <c r="S140" s="278"/>
      <c r="T140" s="278"/>
      <c r="U140" s="278"/>
      <c r="V140" s="278"/>
      <c r="W140" s="278"/>
      <c r="X140" s="278"/>
    </row>
    <row r="141">
      <c r="R141" s="278"/>
      <c r="S141" s="278"/>
      <c r="T141" s="278"/>
      <c r="U141" s="278"/>
      <c r="V141" s="278"/>
      <c r="W141" s="278"/>
      <c r="X141" s="278"/>
    </row>
    <row r="142">
      <c r="R142" s="278"/>
      <c r="S142" s="278"/>
      <c r="T142" s="278"/>
      <c r="U142" s="278"/>
      <c r="V142" s="278"/>
      <c r="W142" s="278"/>
      <c r="X142" s="278"/>
    </row>
    <row r="143">
      <c r="R143" s="278"/>
      <c r="S143" s="278"/>
      <c r="T143" s="278"/>
      <c r="U143" s="278"/>
      <c r="V143" s="278"/>
      <c r="W143" s="278"/>
      <c r="X143" s="278"/>
    </row>
    <row r="144">
      <c r="R144" s="278"/>
      <c r="S144" s="278"/>
      <c r="T144" s="278"/>
      <c r="U144" s="278"/>
      <c r="V144" s="278"/>
      <c r="W144" s="278"/>
      <c r="X144" s="278"/>
    </row>
    <row r="145">
      <c r="R145" s="278"/>
      <c r="S145" s="278"/>
      <c r="T145" s="278"/>
      <c r="U145" s="278"/>
      <c r="V145" s="278"/>
      <c r="W145" s="278"/>
      <c r="X145" s="278"/>
    </row>
    <row r="146">
      <c r="R146" s="278"/>
      <c r="S146" s="278"/>
      <c r="T146" s="278"/>
      <c r="U146" s="278"/>
      <c r="V146" s="278"/>
      <c r="W146" s="278"/>
      <c r="X146" s="278"/>
    </row>
    <row r="147">
      <c r="R147" s="278"/>
      <c r="S147" s="278"/>
      <c r="T147" s="278"/>
      <c r="U147" s="278"/>
      <c r="V147" s="278"/>
      <c r="W147" s="278"/>
      <c r="X147" s="278"/>
    </row>
    <row r="148">
      <c r="R148" s="278"/>
      <c r="S148" s="278"/>
      <c r="T148" s="278"/>
      <c r="U148" s="278"/>
      <c r="V148" s="278"/>
      <c r="W148" s="278"/>
      <c r="X148" s="278"/>
    </row>
    <row r="149">
      <c r="R149" s="278"/>
      <c r="S149" s="278"/>
      <c r="T149" s="278"/>
      <c r="U149" s="278"/>
      <c r="V149" s="278"/>
      <c r="W149" s="278"/>
      <c r="X149" s="278"/>
    </row>
    <row r="150">
      <c r="R150" s="278"/>
      <c r="S150" s="278"/>
      <c r="T150" s="278"/>
      <c r="U150" s="278"/>
      <c r="V150" s="278"/>
      <c r="W150" s="278"/>
      <c r="X150" s="278"/>
    </row>
    <row r="151">
      <c r="R151" s="278"/>
      <c r="S151" s="278"/>
      <c r="T151" s="278"/>
      <c r="U151" s="278"/>
      <c r="V151" s="278"/>
      <c r="W151" s="278"/>
      <c r="X151" s="278"/>
    </row>
    <row r="152">
      <c r="R152" s="278"/>
      <c r="S152" s="278"/>
      <c r="T152" s="278"/>
      <c r="U152" s="278"/>
      <c r="V152" s="278"/>
      <c r="W152" s="278"/>
      <c r="X152" s="278"/>
    </row>
    <row r="153">
      <c r="R153" s="278"/>
      <c r="S153" s="278"/>
      <c r="T153" s="278"/>
      <c r="U153" s="278"/>
      <c r="V153" s="278"/>
      <c r="W153" s="278"/>
      <c r="X153" s="278"/>
    </row>
    <row r="154">
      <c r="R154" s="278"/>
      <c r="S154" s="278"/>
      <c r="T154" s="278"/>
      <c r="U154" s="278"/>
      <c r="V154" s="278"/>
      <c r="W154" s="278"/>
      <c r="X154" s="278"/>
    </row>
    <row r="155">
      <c r="R155" s="278"/>
      <c r="S155" s="278"/>
      <c r="T155" s="278"/>
      <c r="U155" s="278"/>
      <c r="V155" s="278"/>
      <c r="W155" s="278"/>
      <c r="X155" s="278"/>
    </row>
    <row r="156">
      <c r="R156" s="278"/>
      <c r="S156" s="278"/>
      <c r="T156" s="278"/>
      <c r="U156" s="278"/>
      <c r="V156" s="278"/>
      <c r="W156" s="278"/>
      <c r="X156" s="278"/>
    </row>
    <row r="157">
      <c r="R157" s="278"/>
      <c r="S157" s="278"/>
      <c r="T157" s="278"/>
      <c r="U157" s="278"/>
      <c r="V157" s="278"/>
      <c r="W157" s="278"/>
      <c r="X157" s="278"/>
    </row>
    <row r="158">
      <c r="R158" s="278"/>
      <c r="S158" s="278"/>
      <c r="T158" s="278"/>
      <c r="U158" s="278"/>
      <c r="V158" s="278"/>
      <c r="W158" s="278"/>
      <c r="X158" s="278"/>
    </row>
    <row r="159">
      <c r="R159" s="278"/>
      <c r="S159" s="278"/>
      <c r="T159" s="278"/>
      <c r="U159" s="278"/>
      <c r="V159" s="278"/>
      <c r="W159" s="278"/>
      <c r="X159" s="278"/>
    </row>
    <row r="160">
      <c r="R160" s="278"/>
      <c r="S160" s="278"/>
      <c r="T160" s="278"/>
      <c r="U160" s="278"/>
      <c r="V160" s="278"/>
      <c r="W160" s="278"/>
      <c r="X160" s="278"/>
    </row>
    <row r="161">
      <c r="R161" s="278"/>
      <c r="S161" s="278"/>
      <c r="T161" s="278"/>
      <c r="U161" s="278"/>
      <c r="V161" s="278"/>
      <c r="W161" s="278"/>
      <c r="X161" s="278"/>
    </row>
    <row r="162">
      <c r="R162" s="278"/>
      <c r="S162" s="278"/>
      <c r="T162" s="278"/>
      <c r="U162" s="278"/>
      <c r="V162" s="278"/>
      <c r="W162" s="278"/>
      <c r="X162" s="278"/>
    </row>
    <row r="163">
      <c r="R163" s="278"/>
      <c r="S163" s="278"/>
      <c r="T163" s="278"/>
      <c r="U163" s="278"/>
      <c r="V163" s="278"/>
      <c r="W163" s="278"/>
      <c r="X163" s="278"/>
    </row>
    <row r="164">
      <c r="R164" s="278"/>
      <c r="S164" s="278"/>
      <c r="T164" s="278"/>
      <c r="U164" s="278"/>
      <c r="V164" s="278"/>
      <c r="W164" s="278"/>
      <c r="X164" s="278"/>
    </row>
    <row r="165">
      <c r="R165" s="278"/>
      <c r="S165" s="278"/>
      <c r="T165" s="278"/>
      <c r="U165" s="278"/>
      <c r="V165" s="278"/>
      <c r="W165" s="278"/>
      <c r="X165" s="278"/>
    </row>
    <row r="166">
      <c r="R166" s="278"/>
      <c r="S166" s="278"/>
      <c r="T166" s="278"/>
      <c r="U166" s="278"/>
      <c r="V166" s="278"/>
      <c r="W166" s="278"/>
      <c r="X166" s="278"/>
    </row>
    <row r="167">
      <c r="R167" s="278"/>
      <c r="S167" s="278"/>
      <c r="T167" s="278"/>
      <c r="U167" s="278"/>
      <c r="V167" s="278"/>
      <c r="W167" s="278"/>
      <c r="X167" s="278"/>
    </row>
    <row r="168">
      <c r="R168" s="278"/>
      <c r="S168" s="278"/>
      <c r="T168" s="278"/>
      <c r="U168" s="278"/>
      <c r="V168" s="278"/>
      <c r="W168" s="278"/>
      <c r="X168" s="278"/>
    </row>
    <row r="169">
      <c r="R169" s="278"/>
      <c r="S169" s="278"/>
      <c r="T169" s="278"/>
      <c r="U169" s="278"/>
      <c r="V169" s="278"/>
      <c r="W169" s="278"/>
      <c r="X169" s="278"/>
    </row>
    <row r="170">
      <c r="R170" s="278"/>
      <c r="S170" s="278"/>
      <c r="T170" s="278"/>
      <c r="U170" s="278"/>
      <c r="V170" s="278"/>
      <c r="W170" s="278"/>
      <c r="X170" s="278"/>
    </row>
    <row r="171">
      <c r="R171" s="278"/>
      <c r="S171" s="278"/>
      <c r="T171" s="278"/>
      <c r="U171" s="278"/>
      <c r="V171" s="278"/>
      <c r="W171" s="278"/>
      <c r="X171" s="278"/>
    </row>
    <row r="172">
      <c r="R172" s="278"/>
      <c r="S172" s="278"/>
      <c r="T172" s="278"/>
      <c r="U172" s="278"/>
      <c r="V172" s="278"/>
      <c r="W172" s="278"/>
      <c r="X172" s="278"/>
    </row>
    <row r="173">
      <c r="R173" s="278"/>
      <c r="S173" s="278"/>
      <c r="T173" s="278"/>
      <c r="U173" s="278"/>
      <c r="V173" s="278"/>
      <c r="W173" s="278"/>
      <c r="X173" s="278"/>
    </row>
    <row r="174">
      <c r="R174" s="278"/>
      <c r="S174" s="278"/>
      <c r="T174" s="278"/>
      <c r="U174" s="278"/>
      <c r="V174" s="278"/>
      <c r="W174" s="278"/>
      <c r="X174" s="278"/>
    </row>
    <row r="175">
      <c r="R175" s="278"/>
      <c r="S175" s="278"/>
      <c r="T175" s="278"/>
      <c r="U175" s="278"/>
      <c r="V175" s="278"/>
      <c r="W175" s="278"/>
      <c r="X175" s="278"/>
    </row>
    <row r="176">
      <c r="R176" s="278"/>
      <c r="S176" s="278"/>
      <c r="T176" s="278"/>
      <c r="U176" s="278"/>
      <c r="V176" s="278"/>
      <c r="W176" s="278"/>
      <c r="X176" s="278"/>
    </row>
    <row r="177">
      <c r="R177" s="278"/>
      <c r="S177" s="278"/>
      <c r="T177" s="278"/>
      <c r="U177" s="278"/>
      <c r="V177" s="278"/>
      <c r="W177" s="278"/>
      <c r="X177" s="278"/>
    </row>
    <row r="178">
      <c r="R178" s="278"/>
      <c r="S178" s="278"/>
      <c r="T178" s="278"/>
      <c r="U178" s="278"/>
      <c r="V178" s="278"/>
      <c r="W178" s="278"/>
      <c r="X178" s="278"/>
    </row>
    <row r="179">
      <c r="R179" s="278"/>
      <c r="S179" s="278"/>
      <c r="T179" s="278"/>
      <c r="U179" s="278"/>
      <c r="V179" s="278"/>
      <c r="W179" s="278"/>
      <c r="X179" s="278"/>
    </row>
    <row r="180">
      <c r="R180" s="278"/>
      <c r="S180" s="278"/>
      <c r="T180" s="278"/>
      <c r="U180" s="278"/>
      <c r="V180" s="278"/>
      <c r="W180" s="278"/>
      <c r="X180" s="278"/>
    </row>
    <row r="181">
      <c r="R181" s="278"/>
      <c r="S181" s="278"/>
      <c r="T181" s="278"/>
      <c r="U181" s="278"/>
      <c r="V181" s="278"/>
      <c r="W181" s="278"/>
      <c r="X181" s="278"/>
    </row>
    <row r="182">
      <c r="R182" s="278"/>
      <c r="S182" s="278"/>
      <c r="T182" s="278"/>
      <c r="U182" s="278"/>
      <c r="V182" s="278"/>
      <c r="W182" s="278"/>
      <c r="X182" s="278"/>
    </row>
    <row r="183">
      <c r="R183" s="278"/>
      <c r="S183" s="278"/>
      <c r="T183" s="278"/>
      <c r="U183" s="278"/>
      <c r="V183" s="278"/>
      <c r="W183" s="278"/>
      <c r="X183" s="278"/>
    </row>
    <row r="184">
      <c r="R184" s="278"/>
      <c r="S184" s="278"/>
      <c r="T184" s="278"/>
      <c r="U184" s="278"/>
      <c r="V184" s="278"/>
      <c r="W184" s="278"/>
      <c r="X184" s="278"/>
    </row>
    <row r="185">
      <c r="R185" s="278"/>
      <c r="S185" s="278"/>
      <c r="T185" s="278"/>
      <c r="U185" s="278"/>
      <c r="V185" s="278"/>
      <c r="W185" s="278"/>
      <c r="X185" s="278"/>
    </row>
    <row r="186">
      <c r="R186" s="278"/>
      <c r="S186" s="278"/>
      <c r="T186" s="278"/>
      <c r="U186" s="278"/>
      <c r="V186" s="278"/>
      <c r="W186" s="278"/>
      <c r="X186" s="278"/>
    </row>
    <row r="187">
      <c r="R187" s="278"/>
      <c r="S187" s="278"/>
      <c r="T187" s="278"/>
      <c r="U187" s="278"/>
      <c r="V187" s="278"/>
      <c r="W187" s="278"/>
      <c r="X187" s="278"/>
    </row>
    <row r="188">
      <c r="R188" s="278"/>
      <c r="S188" s="278"/>
      <c r="T188" s="278"/>
      <c r="U188" s="278"/>
      <c r="V188" s="278"/>
      <c r="W188" s="278"/>
      <c r="X188" s="278"/>
    </row>
    <row r="189">
      <c r="R189" s="278"/>
      <c r="S189" s="278"/>
      <c r="T189" s="278"/>
      <c r="U189" s="278"/>
      <c r="V189" s="278"/>
      <c r="W189" s="278"/>
      <c r="X189" s="278"/>
    </row>
    <row r="190">
      <c r="R190" s="278"/>
      <c r="S190" s="278"/>
      <c r="T190" s="278"/>
      <c r="U190" s="278"/>
      <c r="V190" s="278"/>
      <c r="W190" s="278"/>
      <c r="X190" s="278"/>
    </row>
    <row r="191">
      <c r="R191" s="278"/>
      <c r="S191" s="278"/>
      <c r="T191" s="278"/>
      <c r="U191" s="278"/>
      <c r="V191" s="278"/>
      <c r="W191" s="278"/>
      <c r="X191" s="278"/>
    </row>
    <row r="192">
      <c r="R192" s="278"/>
      <c r="S192" s="278"/>
      <c r="T192" s="278"/>
      <c r="U192" s="278"/>
      <c r="V192" s="278"/>
      <c r="W192" s="278"/>
      <c r="X192" s="278"/>
    </row>
    <row r="193">
      <c r="R193" s="278"/>
      <c r="S193" s="278"/>
      <c r="T193" s="278"/>
      <c r="U193" s="278"/>
      <c r="V193" s="278"/>
      <c r="W193" s="278"/>
      <c r="X193" s="278"/>
    </row>
    <row r="194">
      <c r="R194" s="278"/>
      <c r="S194" s="278"/>
      <c r="T194" s="278"/>
      <c r="U194" s="278"/>
      <c r="V194" s="278"/>
      <c r="W194" s="278"/>
      <c r="X194" s="278"/>
    </row>
    <row r="195">
      <c r="R195" s="278"/>
      <c r="S195" s="278"/>
      <c r="T195" s="278"/>
      <c r="U195" s="278"/>
      <c r="V195" s="278"/>
      <c r="W195" s="278"/>
      <c r="X195" s="278"/>
    </row>
    <row r="196">
      <c r="R196" s="278"/>
      <c r="S196" s="278"/>
      <c r="T196" s="278"/>
      <c r="U196" s="278"/>
      <c r="V196" s="278"/>
      <c r="W196" s="278"/>
      <c r="X196" s="278"/>
    </row>
    <row r="197">
      <c r="R197" s="278"/>
      <c r="S197" s="278"/>
      <c r="T197" s="278"/>
      <c r="U197" s="278"/>
      <c r="V197" s="278"/>
      <c r="W197" s="278"/>
      <c r="X197" s="278"/>
    </row>
    <row r="198">
      <c r="R198" s="278"/>
      <c r="S198" s="278"/>
      <c r="T198" s="278"/>
      <c r="U198" s="278"/>
      <c r="V198" s="278"/>
      <c r="W198" s="278"/>
      <c r="X198" s="278"/>
    </row>
    <row r="199">
      <c r="R199" s="278"/>
      <c r="S199" s="278"/>
      <c r="T199" s="278"/>
      <c r="U199" s="278"/>
      <c r="V199" s="278"/>
      <c r="W199" s="278"/>
      <c r="X199" s="278"/>
    </row>
    <row r="200">
      <c r="R200" s="278"/>
      <c r="S200" s="278"/>
      <c r="T200" s="278"/>
      <c r="U200" s="278"/>
      <c r="V200" s="278"/>
      <c r="W200" s="278"/>
      <c r="X200" s="278"/>
    </row>
  </sheetData>
  <dataValidations count="4">
    <dataValidation allowBlank="true" errorStyle="stop" showErrorMessage="true" sqref="C2:C57" type="list">
      <formula1>"亚马逊,wayfair,沃尔玛,temu,shein,tiktok"</formula1>
    </dataValidation>
    <dataValidation allowBlank="true" errorStyle="stop" showErrorMessage="true" sqref="E2:E57" type="list">
      <formula1>"美国,加拿大,德国,英国"</formula1>
    </dataValidation>
    <dataValidation allowBlank="true" errorStyle="stop" showErrorMessage="true" sqref="F2:F57" type="list">
      <formula1>"Area rugs,Outdoor Rugs,Kitchen rugs,Runner rugs,Roller Window Shades,Carpet Chair Mats,Staircase Step Treads,Nativity Tabletop Scenes,Kids' Bookcases Cabinets &amp; Shelves,Outdoor Statues"</formula1>
    </dataValidation>
    <dataValidation allowBlank="true" errorStyle="stop" showErrorMessage="true" sqref="M2:M57" type="list">
      <formula1>"跑赢大盘,跑赢自己,跑赢竞品,目标待定"</formula1>
    </dataValidation>
  </dataValidations>
  <hyperlinks>
    <hyperlink ref="K3" display="https://www.amazon.com/Pauwer-Outdoor-Waterproof-Reversible-Backyard/dp/B0CPLVVC17/ref=zg_bs_g_16509767011_d_sccl_16/133-9854572-3617550?th=1" r:id="rId3"/>
    <hyperlink ref="K7" display="https://www.amazon.com/OLANLY-Waterproof-Outdoor-Reversible-Backyard/dp/B0DCRKX4M2/ref=zg_bs_g_16509767011_d_sccl_94/133-9854572-3617550?th=1" r:id="rId4"/>
    <hyperlink ref="K11" display="https://www.amazon.com/dp/B0DCRL8TGG?th=1" r:id="rId5"/>
    <hyperlink ref="K15" display="https://www.amazon.ca/dp/B0DN9XQZ2C?th=1" r:id="rId6"/>
    <hyperlink ref="K26" display="https://www.amazon.com/HEBE-Fatigue-Cushioned-Standing-Waterproof/dp/B08PVCD9NQ/ref=zg_bs_g_644050011_d_sccl_35/139-7976076-6503513?psc=1" r:id="rId7"/>
    <hyperlink ref="K4" display="https://www.amazon.com/HUGEAR-Plastic-Waterproof-Reversible-Entryance/dp/B0DJFP72J9/ref=sr_1_1?crid=34BA5B8QHXP10&amp;dib=eyJ2IjoiMSJ9.JasgdCx2M29KtVcYtUbghw.9r_ADXSRElNSpoVIWUpRcUeDOBlB-8607ZRKA1cXup8&amp;dib_tag=se&amp;keywords=B0DJFP72J9&amp;nsdOptOutParam=true&amp;qid=1763449161&amp;s=home-garden&amp;sprefix=%2Cgarden%2C817&amp;sr=1-1&amp;th=1" r:id="rId8"/>
    <hyperlink ref="K8" display="https://www.amazon.com/WILDROOTS-Plastic-Resistant-Waterproof-Reversible/dp/B0DX1VMGNB/ref=zg_bs_g_16509767011_d_sccl_29/141-5410386-7383464?th=1" r:id="rId9"/>
    <hyperlink ref="K12" display="https://www.amazon.ca/dp/B0DJ2Q4KTZ?th=1" r:id="rId10"/>
    <hyperlink ref="K16" display="https://www.amazon.ca/Cekene-Waterproof-Reversible-Lightweight-Portable/dp/B0DK2WH5N9/ref=zg_bs_g_37288342011_d_sccl_44/135-3496690-1344336?th=1" r:id="rId11"/>
    <hyperlink ref="K5" display="https://www.amazon.com/Outdoor-Clearance-Waterproof-Camping-Reversible/dp/B09PH7HRQG/ref=zg_bs_g_16509767011_d_sccl_18/141-5410386-7383464?th=1" r:id="rId12"/>
    <hyperlink ref="K9" display="https://www.amazon.com/MontVoo-Rug-Waterproof-Reversible-Backyard-Farmhouse/dp/B0DHXDG87B/ref=zg_bs_g_16509767011_d_sccl_26/136-5722474-7668953?psc=1" r:id="rId13"/>
    <hyperlink ref="K13" display="https://www.amazon.ca/LOKHOM-Outdoor-Reversible-Plastic-Waterproof/dp/B0CNTDMVMD/ref=zg_bs_g_37288342011_d_sccl_49/135-3496690-1344336?th=1" r:id="rId14"/>
    <hyperlink ref="K17" display="https://www.amazon.ca/dp/B0CLNRF9P3?th=1" r:id="rId15"/>
    <hyperlink ref="K2" display="https://www.amazon.com/SAND-MINE-Reversible-Outdoors-Backyard/dp/B091YMYV7Q/ref=zg_bs_g_16509767011_d_sccl_4/139-0019634-8191247?th=1" r:id="rId16"/>
    <hyperlink ref="K6" display="https://www.amazon.com/dp/B0DBLXTZ2H?th=1" r:id="rId17"/>
    <hyperlink ref="K10" display="https://www.amazon.com/MontVoo-Outdoor-Waterproof-Reversible-Beach-Boho/dp/B0CLP18RZQ/ref=zg_bs_g_16509767011_d_sccl_14/141-5410386-7383464?th=1" r:id="rId18"/>
    <hyperlink ref="K14" display="https://www.amazon.ca/Outdoor-Fashion-Rugs-Modern-Reversible-Backyard/dp/B0CMTNR7WK/ref=zg_bs_g_37288342011_d_sccl_22/135-3496690-1344336?th=1" r:id="rId19"/>
    <hyperlink ref="K18" display="https://www.amazon.ca/TECHMILLY-Outdoor-Waterproof-Reversible-Portable/dp/B0D9PWS1GH/ref=zg_bs_g_37288342011_d_sccl_17/135-3496690-1344336?th=1" r:id="rId20"/>
  </hyperlinks>
  <pageMargins bottom="1" footer="0.5" header="0.5" left="0.75" right="0.75" top="1"/>
  <legacyDrawing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6"/>
  <cols>
    <col collapsed="false" customWidth="true" hidden="false" max="1" min="1" style="0" width="16"/>
    <col collapsed="false" customWidth="true" hidden="false" max="7" min="7" style="0" width="22"/>
    <col collapsed="false" customWidth="true" hidden="false" max="8" min="8" style="0" width="15"/>
    <col collapsed="false" customWidth="true" hidden="false" max="24" min="24" style="0" width="6"/>
    <col collapsed="false" customWidth="true" hidden="false" max="25" min="25" style="0" width="8"/>
  </cols>
  <sheetData>
    <row customHeight="true" ht="13" r="1">
      <c r="B1" s="279" t="s">
        <v>618</v>
      </c>
      <c r="C1" s="280" t="s">
        <v>619</v>
      </c>
      <c r="D1" s="280" t="s">
        <v>620</v>
      </c>
      <c r="E1" s="280" t="s">
        <v>621</v>
      </c>
      <c r="F1" s="280" t="s">
        <v>622</v>
      </c>
      <c r="G1" s="280" t="s">
        <v>623</v>
      </c>
      <c r="H1" s="280" t="s">
        <v>624</v>
      </c>
      <c r="I1" s="280" t="s">
        <v>625</v>
      </c>
      <c r="J1" s="280" t="s">
        <v>626</v>
      </c>
      <c r="K1" s="281" t="s">
        <v>627</v>
      </c>
      <c r="L1" s="281" t="s">
        <v>628</v>
      </c>
      <c r="M1" s="280" t="s">
        <v>629</v>
      </c>
      <c r="N1" s="280" t="s">
        <v>630</v>
      </c>
      <c r="O1" s="280" t="s">
        <v>631</v>
      </c>
      <c r="P1" s="280" t="s">
        <v>632</v>
      </c>
      <c r="Q1" s="280" t="s">
        <v>633</v>
      </c>
      <c r="R1" s="280" t="s">
        <v>634</v>
      </c>
      <c r="S1" s="280" t="s">
        <v>635</v>
      </c>
      <c r="T1" s="280" t="s">
        <v>636</v>
      </c>
      <c r="U1" s="280" t="s">
        <v>637</v>
      </c>
      <c r="V1" s="280" t="s">
        <v>638</v>
      </c>
      <c r="W1" s="280" t="s">
        <v>627</v>
      </c>
      <c r="X1" s="280" t="s">
        <v>628</v>
      </c>
      <c r="Y1" s="280" t="s">
        <v>639</v>
      </c>
      <c r="Z1" s="280" t="s">
        <v>640</v>
      </c>
    </row>
    <row customHeight="true" ht="13" r="2">
      <c r="A2" cm="1">
        <f t="array" ref="A2:A2">_xlfn.XLOOKUP(H2,'历史月度销量'!C:C,'历史月度销量'!C:C)</f>
      </c>
      <c r="B2" s="282">
        <v>1</v>
      </c>
      <c r="C2" s="282" t="s">
        <v>641</v>
      </c>
      <c r="D2" s="282" t="s">
        <v>642</v>
      </c>
      <c r="E2" s="282" t="s">
        <v>643</v>
      </c>
      <c r="F2" s="282" t="s">
        <v>644</v>
      </c>
      <c r="G2" s="282" t="s">
        <v>645</v>
      </c>
      <c r="H2" s="282" t="s">
        <v>646</v>
      </c>
      <c r="I2" s="282" t="s">
        <v>647</v>
      </c>
      <c r="J2" s="283" t="s">
        <v>648</v>
      </c>
      <c r="K2" s="284">
        <v>4193</v>
      </c>
      <c r="L2" s="283"/>
      <c r="M2" s="285">
        <v>4340</v>
      </c>
      <c r="N2" s="285">
        <v>5492</v>
      </c>
      <c r="O2" s="286">
        <v>13300</v>
      </c>
      <c r="P2" s="286">
        <v>15267</v>
      </c>
      <c r="Q2" s="286">
        <v>19311</v>
      </c>
      <c r="R2" s="286">
        <v>17597</v>
      </c>
      <c r="S2" s="286">
        <v>14015</v>
      </c>
      <c r="T2" s="286">
        <v>10941</v>
      </c>
      <c r="U2" s="287">
        <v>7093</v>
      </c>
      <c r="V2" s="287">
        <v>5630</v>
      </c>
      <c r="W2" s="287">
        <v>3847</v>
      </c>
      <c r="X2" s="287">
        <v>2872</v>
      </c>
      <c r="Y2" s="288"/>
      <c r="Z2" s="284"/>
    </row>
    <row customHeight="true" ht="13" r="3">
      <c r="A3" cm="1">
        <f t="array" ref="A3:A3">_xlfn.XLOOKUP(H3,'历史月度销量'!C:C,'历史月度销量'!C:C)</f>
      </c>
      <c r="B3" s="282">
        <v>2</v>
      </c>
      <c r="C3" s="282" t="s">
        <v>641</v>
      </c>
      <c r="D3" s="282" t="s">
        <v>642</v>
      </c>
      <c r="E3" s="282" t="s">
        <v>643</v>
      </c>
      <c r="F3" s="282" t="s">
        <v>644</v>
      </c>
      <c r="G3" s="282" t="s">
        <v>649</v>
      </c>
      <c r="H3" s="282" t="s">
        <v>650</v>
      </c>
      <c r="I3" s="282" t="s">
        <v>651</v>
      </c>
      <c r="J3" s="283" t="s">
        <v>648</v>
      </c>
      <c r="K3" s="284">
        <v>4193</v>
      </c>
      <c r="L3" s="283"/>
      <c r="M3" s="286">
        <v>1999</v>
      </c>
      <c r="N3" s="286">
        <v>3334</v>
      </c>
      <c r="O3" s="286">
        <v>6541</v>
      </c>
      <c r="P3" s="286">
        <v>9909</v>
      </c>
      <c r="Q3" s="286">
        <v>20291</v>
      </c>
      <c r="R3" s="286">
        <v>20300</v>
      </c>
      <c r="S3" s="286">
        <v>12332</v>
      </c>
      <c r="T3" s="286">
        <v>8562</v>
      </c>
      <c r="U3" s="286">
        <v>4915</v>
      </c>
      <c r="V3" s="286">
        <v>3205</v>
      </c>
      <c r="W3" s="286">
        <v>2530</v>
      </c>
      <c r="X3" s="286">
        <v>1573</v>
      </c>
      <c r="Y3" s="288"/>
      <c r="Z3" s="288"/>
    </row>
    <row customHeight="true" ht="13" r="4">
      <c r="A4" cm="1">
        <f t="array" ref="A4:A4">_xlfn.XLOOKUP(H4,'历史月度销量'!C:C,'历史月度销量'!C:C)</f>
      </c>
      <c r="B4" s="282">
        <v>3</v>
      </c>
      <c r="C4" s="282" t="s">
        <v>641</v>
      </c>
      <c r="D4" s="282" t="s">
        <v>642</v>
      </c>
      <c r="E4" s="282" t="s">
        <v>652</v>
      </c>
      <c r="F4" s="282" t="s">
        <v>644</v>
      </c>
      <c r="G4" s="282" t="s">
        <v>653</v>
      </c>
      <c r="H4" s="289" t="s">
        <v>654</v>
      </c>
      <c r="I4" s="282" t="s">
        <v>655</v>
      </c>
      <c r="J4" s="283" t="s">
        <v>648</v>
      </c>
      <c r="K4" s="284">
        <v>4193</v>
      </c>
      <c r="L4" s="283"/>
      <c r="M4" s="290">
        <v>1072</v>
      </c>
      <c r="N4" s="290">
        <v>2483</v>
      </c>
      <c r="O4" s="290">
        <v>4621</v>
      </c>
      <c r="P4" s="290">
        <v>5915</v>
      </c>
      <c r="Q4" s="290">
        <v>9173</v>
      </c>
      <c r="R4" s="286">
        <v>9649</v>
      </c>
      <c r="S4" s="286">
        <v>7495</v>
      </c>
      <c r="T4" s="286">
        <v>4597</v>
      </c>
      <c r="U4" s="286">
        <v>3451</v>
      </c>
      <c r="V4" s="286">
        <v>2066</v>
      </c>
      <c r="W4" s="286">
        <v>1446</v>
      </c>
      <c r="X4" s="286">
        <v>938</v>
      </c>
      <c r="Y4" s="288">
        <v>52906</v>
      </c>
      <c r="Z4" s="291"/>
    </row>
    <row customHeight="true" ht="13" r="5">
      <c r="A5" cm="1">
        <f t="array" ref="A5:A5">_xlfn.XLOOKUP(H5,'历史月度销量'!C:C,'历史月度销量'!C:C)</f>
      </c>
      <c r="B5" s="282">
        <v>4</v>
      </c>
      <c r="C5" s="282" t="s">
        <v>641</v>
      </c>
      <c r="D5" s="282" t="s">
        <v>642</v>
      </c>
      <c r="E5" s="282" t="s">
        <v>652</v>
      </c>
      <c r="F5" s="282" t="s">
        <v>644</v>
      </c>
      <c r="G5" s="282" t="s">
        <v>656</v>
      </c>
      <c r="H5" s="282" t="s">
        <v>657</v>
      </c>
      <c r="I5" s="282" t="s">
        <v>658</v>
      </c>
      <c r="J5" s="283" t="s">
        <v>648</v>
      </c>
      <c r="K5" s="284">
        <v>4193</v>
      </c>
      <c r="L5" s="283"/>
      <c r="M5" s="286">
        <v>669</v>
      </c>
      <c r="N5" s="286">
        <v>856</v>
      </c>
      <c r="O5" s="286">
        <v>2655</v>
      </c>
      <c r="P5" s="286">
        <v>3794</v>
      </c>
      <c r="Q5" s="286">
        <v>7968</v>
      </c>
      <c r="R5" s="292">
        <v>7921</v>
      </c>
      <c r="S5" s="292">
        <v>5697</v>
      </c>
      <c r="T5" s="292">
        <v>2740</v>
      </c>
      <c r="U5" s="292">
        <v>968</v>
      </c>
      <c r="V5" s="292">
        <v>1291</v>
      </c>
      <c r="W5" s="293">
        <v>1402</v>
      </c>
      <c r="X5" s="293">
        <v>826</v>
      </c>
      <c r="Y5" s="291">
        <v>36787</v>
      </c>
      <c r="Z5" s="291"/>
    </row>
    <row customHeight="true" ht="13" r="6">
      <c r="A6" cm="1">
        <f t="array" ref="A6:A6">_xlfn.XLOOKUP(H6,'历史月度销量'!C:C,'历史月度销量'!C:C)</f>
      </c>
      <c r="B6" s="282">
        <v>6</v>
      </c>
      <c r="C6" s="282" t="s">
        <v>641</v>
      </c>
      <c r="D6" s="282" t="s">
        <v>642</v>
      </c>
      <c r="E6" s="282" t="s">
        <v>659</v>
      </c>
      <c r="F6" s="282" t="s">
        <v>644</v>
      </c>
      <c r="G6" s="282" t="s">
        <v>660</v>
      </c>
      <c r="H6" s="282" t="s">
        <v>661</v>
      </c>
      <c r="I6" s="282" t="s">
        <v>662</v>
      </c>
      <c r="J6" s="283" t="s">
        <v>648</v>
      </c>
      <c r="K6" s="284">
        <v>4193</v>
      </c>
      <c r="L6" s="283"/>
      <c r="M6" s="286">
        <v>459</v>
      </c>
      <c r="N6" s="286">
        <v>674</v>
      </c>
      <c r="O6" s="286">
        <v>2408</v>
      </c>
      <c r="P6" s="286">
        <v>2443</v>
      </c>
      <c r="Q6" s="290">
        <v>3463</v>
      </c>
      <c r="R6" s="294">
        <v>3399</v>
      </c>
      <c r="S6" s="294">
        <v>2329</v>
      </c>
      <c r="T6" s="290">
        <v>1364</v>
      </c>
      <c r="U6" s="290">
        <v>705</v>
      </c>
      <c r="V6" s="290">
        <v>418</v>
      </c>
      <c r="W6" s="286">
        <v>357</v>
      </c>
      <c r="X6" s="290">
        <v>163</v>
      </c>
      <c r="Y6" s="288"/>
      <c r="Z6" s="284"/>
    </row>
    <row customHeight="true" ht="13" r="7">
      <c r="A7" cm="1">
        <f t="array" ref="A7:A7">_xlfn.XLOOKUP(H7,'历史月度销量'!C:C,'历史月度销量'!C:C)</f>
      </c>
      <c r="B7" s="282">
        <v>7</v>
      </c>
      <c r="C7" s="282" t="s">
        <v>641</v>
      </c>
      <c r="D7" s="282" t="s">
        <v>642</v>
      </c>
      <c r="E7" s="282" t="s">
        <v>643</v>
      </c>
      <c r="F7" s="282" t="s">
        <v>644</v>
      </c>
      <c r="G7" s="282" t="s">
        <v>663</v>
      </c>
      <c r="H7" s="282" t="s">
        <v>664</v>
      </c>
      <c r="I7" s="282" t="s">
        <v>662</v>
      </c>
      <c r="J7" s="283" t="s">
        <v>648</v>
      </c>
      <c r="K7" s="284">
        <v>4193</v>
      </c>
      <c r="L7" s="283"/>
      <c r="M7" s="295"/>
      <c r="N7" s="296">
        <v>107</v>
      </c>
      <c r="O7" s="297">
        <v>1100</v>
      </c>
      <c r="P7" s="296">
        <v>1084</v>
      </c>
      <c r="Q7" s="290">
        <v>1466</v>
      </c>
      <c r="R7" s="290">
        <v>1515</v>
      </c>
      <c r="S7" s="290">
        <v>1854</v>
      </c>
      <c r="T7" s="290">
        <v>620</v>
      </c>
      <c r="U7" s="295"/>
      <c r="V7" s="295"/>
      <c r="W7" s="295"/>
      <c r="X7" s="295"/>
      <c r="Y7" s="288"/>
      <c r="Z7" s="288"/>
    </row>
    <row customHeight="true" ht="13" r="8">
      <c r="B8" s="282">
        <v>8</v>
      </c>
      <c r="C8" s="282" t="s">
        <v>641</v>
      </c>
      <c r="D8" s="282" t="s">
        <v>642</v>
      </c>
      <c r="E8" s="282" t="s">
        <v>643</v>
      </c>
      <c r="F8" s="282" t="s">
        <v>644</v>
      </c>
      <c r="G8" s="282" t="s">
        <v>665</v>
      </c>
      <c r="H8" s="282" t="s">
        <v>646</v>
      </c>
      <c r="I8" s="282" t="s">
        <v>647</v>
      </c>
      <c r="J8" s="283" t="s">
        <v>648</v>
      </c>
      <c r="K8" s="284">
        <v>4193</v>
      </c>
      <c r="L8" s="283"/>
      <c r="M8" s="295"/>
      <c r="N8" s="290">
        <v>101</v>
      </c>
      <c r="O8" s="290">
        <v>844</v>
      </c>
      <c r="P8" s="290">
        <v>695</v>
      </c>
      <c r="Q8" s="290">
        <v>1036</v>
      </c>
      <c r="R8" s="290">
        <v>1632</v>
      </c>
      <c r="S8" s="290">
        <v>754</v>
      </c>
      <c r="T8" s="290">
        <v>102</v>
      </c>
      <c r="U8" s="290">
        <v>46</v>
      </c>
      <c r="V8" s="290">
        <v>19</v>
      </c>
      <c r="W8" s="290">
        <v>11</v>
      </c>
      <c r="X8" s="290">
        <v>6</v>
      </c>
      <c r="Y8" s="288"/>
      <c r="Z8" s="284"/>
    </row>
    <row customHeight="true" ht="13" r="9">
      <c r="A9" cm="1">
        <f t="array" ref="A9:A9">_xlfn.XLOOKUP(H9,'历史月度销量'!C:C,'历史月度销量'!C:C)</f>
      </c>
      <c r="B9" s="282">
        <v>10</v>
      </c>
      <c r="C9" s="282" t="s">
        <v>641</v>
      </c>
      <c r="D9" s="282" t="s">
        <v>642</v>
      </c>
      <c r="E9" s="282" t="s">
        <v>643</v>
      </c>
      <c r="F9" s="282" t="s">
        <v>644</v>
      </c>
      <c r="G9" s="282" t="s">
        <v>666</v>
      </c>
      <c r="H9" s="282" t="s">
        <v>667</v>
      </c>
      <c r="I9" s="282" t="s">
        <v>655</v>
      </c>
      <c r="J9" s="283" t="s">
        <v>648</v>
      </c>
      <c r="K9" s="284">
        <v>4193</v>
      </c>
      <c r="L9" s="283"/>
      <c r="M9" s="295"/>
      <c r="N9" s="286">
        <v>270</v>
      </c>
      <c r="O9" s="286">
        <v>910</v>
      </c>
      <c r="P9" s="286">
        <v>865</v>
      </c>
      <c r="Q9" s="286">
        <v>1528</v>
      </c>
      <c r="R9" s="286">
        <v>1465</v>
      </c>
      <c r="S9" s="286">
        <v>963</v>
      </c>
      <c r="T9" s="286">
        <v>279</v>
      </c>
      <c r="U9" s="295"/>
      <c r="V9" s="295"/>
      <c r="W9" s="295"/>
      <c r="X9" s="295"/>
      <c r="Y9" s="288">
        <v>6280</v>
      </c>
      <c r="Z9" s="288"/>
    </row>
    <row customHeight="true" ht="13" r="10">
      <c r="A10" s="298" t="s">
        <v>668</v>
      </c>
      <c r="B10" s="282">
        <v>11</v>
      </c>
      <c r="C10" s="282" t="s">
        <v>641</v>
      </c>
      <c r="D10" s="282" t="s">
        <v>642</v>
      </c>
      <c r="E10" s="282" t="s">
        <v>643</v>
      </c>
      <c r="F10" s="282" t="s">
        <v>644</v>
      </c>
      <c r="G10" s="282" t="s">
        <v>669</v>
      </c>
      <c r="H10" s="282" t="s">
        <v>670</v>
      </c>
      <c r="I10" s="282" t="s">
        <v>647</v>
      </c>
      <c r="J10" s="283" t="s">
        <v>648</v>
      </c>
      <c r="K10" s="284">
        <v>4193</v>
      </c>
      <c r="L10" s="283"/>
      <c r="M10" s="295"/>
      <c r="N10" s="290">
        <v>180</v>
      </c>
      <c r="O10" s="290">
        <v>817</v>
      </c>
      <c r="P10" s="290">
        <v>740</v>
      </c>
      <c r="Q10" s="290">
        <v>1162</v>
      </c>
      <c r="R10" s="290">
        <v>1152</v>
      </c>
      <c r="S10" s="290">
        <v>943</v>
      </c>
      <c r="T10" s="290">
        <v>301</v>
      </c>
      <c r="U10" s="290">
        <v>43</v>
      </c>
      <c r="V10" s="290">
        <v>4</v>
      </c>
      <c r="W10" s="290">
        <v>1</v>
      </c>
      <c r="X10" s="295"/>
      <c r="Y10" s="288"/>
      <c r="Z10" s="284"/>
    </row>
    <row customHeight="true" ht="13" r="11">
      <c r="A11" cm="1">
        <f t="array" ref="A11:A11">_xlfn.XLOOKUP(H11,'历史月度销量'!C:C,'历史月度销量'!C:C)</f>
      </c>
      <c r="B11" s="282">
        <v>13</v>
      </c>
      <c r="C11" s="282" t="s">
        <v>641</v>
      </c>
      <c r="D11" s="282" t="s">
        <v>642</v>
      </c>
      <c r="E11" s="282" t="s">
        <v>643</v>
      </c>
      <c r="F11" s="282" t="s">
        <v>644</v>
      </c>
      <c r="G11" s="299" t="s">
        <v>671</v>
      </c>
      <c r="H11" s="282" t="s">
        <v>672</v>
      </c>
      <c r="I11" s="282" t="s">
        <v>647</v>
      </c>
      <c r="J11" s="283" t="s">
        <v>648</v>
      </c>
      <c r="K11" s="284">
        <v>4193</v>
      </c>
      <c r="L11" s="283"/>
      <c r="M11" s="295"/>
      <c r="N11" s="285">
        <v>136</v>
      </c>
      <c r="O11" s="285">
        <v>595</v>
      </c>
      <c r="P11" s="285">
        <v>595</v>
      </c>
      <c r="Q11" s="286">
        <v>1258</v>
      </c>
      <c r="R11" s="286">
        <v>966</v>
      </c>
      <c r="S11" s="286">
        <v>1295</v>
      </c>
      <c r="T11" s="286">
        <v>548</v>
      </c>
      <c r="U11" s="286">
        <v>74</v>
      </c>
      <c r="V11" s="286">
        <v>9</v>
      </c>
      <c r="W11" s="286">
        <v>3</v>
      </c>
      <c r="X11" s="286">
        <v>1</v>
      </c>
      <c r="Y11" s="288"/>
      <c r="Z11" s="284"/>
    </row>
    <row customHeight="true" ht="13" r="12">
      <c r="B12" s="282">
        <v>14</v>
      </c>
      <c r="C12" s="282" t="s">
        <v>641</v>
      </c>
      <c r="D12" s="282" t="s">
        <v>642</v>
      </c>
      <c r="E12" s="282" t="s">
        <v>643</v>
      </c>
      <c r="F12" s="282" t="s">
        <v>644</v>
      </c>
      <c r="G12" s="282" t="s">
        <v>673</v>
      </c>
      <c r="H12" s="282" t="s">
        <v>646</v>
      </c>
      <c r="I12" s="282" t="s">
        <v>647</v>
      </c>
      <c r="J12" s="283" t="s">
        <v>648</v>
      </c>
      <c r="K12" s="284">
        <v>4193</v>
      </c>
      <c r="L12" s="283"/>
      <c r="M12" s="295"/>
      <c r="N12" s="295"/>
      <c r="O12" s="286">
        <v>124</v>
      </c>
      <c r="P12" s="286">
        <v>619</v>
      </c>
      <c r="Q12" s="286">
        <v>1034</v>
      </c>
      <c r="R12" s="286">
        <v>920</v>
      </c>
      <c r="S12" s="286">
        <v>1112</v>
      </c>
      <c r="T12" s="286">
        <v>463</v>
      </c>
      <c r="U12" s="286">
        <v>107</v>
      </c>
      <c r="V12" s="286">
        <v>24</v>
      </c>
      <c r="W12" s="286">
        <v>9</v>
      </c>
      <c r="X12" s="286">
        <v>1</v>
      </c>
      <c r="Y12" s="288"/>
      <c r="Z12" s="284"/>
    </row>
    <row customHeight="true" ht="13" r="13">
      <c r="B13" s="282">
        <v>15</v>
      </c>
      <c r="C13" s="282" t="s">
        <v>641</v>
      </c>
      <c r="D13" s="282" t="s">
        <v>642</v>
      </c>
      <c r="E13" s="282" t="s">
        <v>643</v>
      </c>
      <c r="F13" s="282" t="s">
        <v>644</v>
      </c>
      <c r="G13" s="282" t="s">
        <v>674</v>
      </c>
      <c r="H13" s="282" t="s">
        <v>646</v>
      </c>
      <c r="I13" s="282" t="s">
        <v>662</v>
      </c>
      <c r="J13" s="283" t="s">
        <v>648</v>
      </c>
      <c r="K13" s="284"/>
      <c r="L13" s="284"/>
      <c r="M13" s="290"/>
      <c r="N13" s="290"/>
      <c r="O13" s="290"/>
      <c r="P13" s="290"/>
      <c r="Q13" s="290"/>
      <c r="R13" s="290">
        <v>293</v>
      </c>
      <c r="S13" s="290">
        <v>451</v>
      </c>
      <c r="T13" s="290">
        <v>400</v>
      </c>
      <c r="U13" s="290">
        <v>353</v>
      </c>
      <c r="V13" s="290">
        <v>462</v>
      </c>
      <c r="W13" s="290">
        <v>214</v>
      </c>
      <c r="X13" s="290">
        <v>36</v>
      </c>
      <c r="Y13" s="284"/>
      <c r="Z13" s="284"/>
    </row>
    <row customHeight="true" ht="13" r="14">
      <c r="A14" cm="1">
        <f t="array" ref="A14:A14">_xlfn.XLOOKUP(H14,'历史月度销量'!C:C,'历史月度销量'!C:C)</f>
      </c>
      <c r="B14" s="282">
        <v>15</v>
      </c>
      <c r="C14" s="282" t="s">
        <v>641</v>
      </c>
      <c r="D14" s="282" t="s">
        <v>642</v>
      </c>
      <c r="E14" s="282" t="s">
        <v>675</v>
      </c>
      <c r="F14" s="282" t="s">
        <v>644</v>
      </c>
      <c r="G14" s="282" t="s">
        <v>676</v>
      </c>
      <c r="H14" s="282" t="s">
        <v>677</v>
      </c>
      <c r="I14" s="282" t="s">
        <v>647</v>
      </c>
      <c r="J14" s="283" t="s">
        <v>648</v>
      </c>
      <c r="K14" s="284"/>
      <c r="L14" s="283"/>
      <c r="M14" s="285">
        <v>112</v>
      </c>
      <c r="N14" s="285">
        <v>110</v>
      </c>
      <c r="O14" s="286">
        <v>554</v>
      </c>
      <c r="P14" s="286">
        <v>1314</v>
      </c>
      <c r="Q14" s="286">
        <v>3286</v>
      </c>
      <c r="R14" s="286">
        <v>2321</v>
      </c>
      <c r="S14" s="286">
        <v>1871</v>
      </c>
      <c r="T14" s="286">
        <v>949</v>
      </c>
      <c r="U14" s="286">
        <v>499</v>
      </c>
      <c r="V14" s="286">
        <v>296</v>
      </c>
      <c r="W14" s="286">
        <v>318</v>
      </c>
      <c r="X14" s="286">
        <v>282</v>
      </c>
      <c r="Y14" s="288"/>
      <c r="Z14" s="288"/>
    </row>
    <row customHeight="true" ht="13" r="15">
      <c r="A15" cm="1">
        <f t="array" ref="A15:A15">_xlfn.XLOOKUP(H15,'历史月度销量'!C:C,'历史月度销量'!C:C)</f>
      </c>
      <c r="B15" s="282">
        <v>16</v>
      </c>
      <c r="C15" s="282" t="s">
        <v>641</v>
      </c>
      <c r="D15" s="282" t="s">
        <v>642</v>
      </c>
      <c r="E15" s="282" t="s">
        <v>675</v>
      </c>
      <c r="F15" s="282" t="s">
        <v>644</v>
      </c>
      <c r="G15" s="282" t="s">
        <v>678</v>
      </c>
      <c r="H15" s="282" t="s">
        <v>679</v>
      </c>
      <c r="I15" s="282" t="s">
        <v>651</v>
      </c>
      <c r="J15" s="283" t="s">
        <v>648</v>
      </c>
      <c r="K15" s="284">
        <v>4193</v>
      </c>
      <c r="L15" s="283"/>
      <c r="M15" s="286">
        <v>127</v>
      </c>
      <c r="N15" s="286">
        <v>125</v>
      </c>
      <c r="O15" s="286">
        <v>595</v>
      </c>
      <c r="P15" s="286">
        <v>1608</v>
      </c>
      <c r="Q15" s="286">
        <v>2118</v>
      </c>
      <c r="R15" s="286">
        <v>1380</v>
      </c>
      <c r="S15" s="286">
        <v>1570</v>
      </c>
      <c r="T15" s="286">
        <v>770</v>
      </c>
      <c r="U15" s="286">
        <v>255</v>
      </c>
      <c r="V15" s="286">
        <v>143</v>
      </c>
      <c r="W15" s="286">
        <v>92</v>
      </c>
      <c r="X15" s="286">
        <v>40</v>
      </c>
      <c r="Y15" s="288"/>
      <c r="Z15" s="288"/>
    </row>
    <row customHeight="true" ht="13" r="16">
      <c r="A16" cm="1">
        <f t="array" ref="A16:A16">_xlfn.XLOOKUP(H16,'历史月度销量'!C:C,'历史月度销量'!C:C)</f>
      </c>
      <c r="B16" s="282">
        <v>17</v>
      </c>
      <c r="C16" s="282" t="s">
        <v>641</v>
      </c>
      <c r="D16" s="282" t="s">
        <v>642</v>
      </c>
      <c r="E16" s="282" t="s">
        <v>680</v>
      </c>
      <c r="F16" s="282" t="s">
        <v>644</v>
      </c>
      <c r="G16" s="282" t="s">
        <v>681</v>
      </c>
      <c r="H16" s="282" t="s">
        <v>682</v>
      </c>
      <c r="I16" s="282" t="s">
        <v>655</v>
      </c>
      <c r="J16" s="283" t="s">
        <v>648</v>
      </c>
      <c r="K16" s="284">
        <v>4193</v>
      </c>
      <c r="L16" s="283"/>
      <c r="M16" s="290">
        <v>56</v>
      </c>
      <c r="N16" s="285">
        <v>36</v>
      </c>
      <c r="O16" s="290">
        <v>148</v>
      </c>
      <c r="P16" s="285">
        <v>557</v>
      </c>
      <c r="Q16" s="290">
        <v>1270</v>
      </c>
      <c r="R16" s="286">
        <v>1452</v>
      </c>
      <c r="S16" s="286">
        <v>829</v>
      </c>
      <c r="T16" s="286">
        <v>346</v>
      </c>
      <c r="U16" s="286">
        <v>133</v>
      </c>
      <c r="V16" s="286">
        <v>107</v>
      </c>
      <c r="W16" s="286">
        <v>62</v>
      </c>
      <c r="X16" s="286">
        <v>53</v>
      </c>
      <c r="Y16" s="288">
        <v>5049</v>
      </c>
      <c r="Z16" s="288"/>
    </row>
    <row customHeight="true" ht="13" r="17">
      <c r="A17" cm="1">
        <f t="array" ref="A17:A17">_xlfn.XLOOKUP(H17,'历史月度销量'!C:C,'历史月度销量'!C:C)</f>
      </c>
      <c r="B17" s="282">
        <v>18</v>
      </c>
      <c r="C17" s="282" t="s">
        <v>641</v>
      </c>
      <c r="D17" s="282" t="s">
        <v>642</v>
      </c>
      <c r="E17" s="282" t="s">
        <v>680</v>
      </c>
      <c r="F17" s="282" t="s">
        <v>644</v>
      </c>
      <c r="G17" s="282" t="s">
        <v>683</v>
      </c>
      <c r="H17" s="282" t="s">
        <v>684</v>
      </c>
      <c r="I17" s="282" t="s">
        <v>658</v>
      </c>
      <c r="J17" s="283" t="s">
        <v>648</v>
      </c>
      <c r="K17" s="284">
        <v>4193</v>
      </c>
      <c r="L17" s="283"/>
      <c r="M17" s="286">
        <v>44</v>
      </c>
      <c r="N17" s="286">
        <v>34</v>
      </c>
      <c r="O17" s="286">
        <v>148</v>
      </c>
      <c r="P17" s="286">
        <v>433</v>
      </c>
      <c r="Q17" s="286">
        <v>919</v>
      </c>
      <c r="R17" s="286">
        <v>779</v>
      </c>
      <c r="S17" s="292">
        <v>454</v>
      </c>
      <c r="T17" s="286">
        <v>109</v>
      </c>
      <c r="U17" s="286">
        <v>74</v>
      </c>
      <c r="V17" s="286">
        <v>51</v>
      </c>
      <c r="W17" s="286">
        <v>62</v>
      </c>
      <c r="X17" s="286">
        <v>10</v>
      </c>
      <c r="Y17" s="288"/>
      <c r="Z17" s="288"/>
    </row>
    <row customHeight="true" ht="13" r="18">
      <c r="A18" cm="1">
        <f t="array" ref="A18:A18">_xlfn.XLOOKUP(H18,'历史月度销量'!C:C,'历史月度销量'!C:C)</f>
      </c>
      <c r="B18" s="282">
        <v>19</v>
      </c>
      <c r="C18" s="282" t="s">
        <v>641</v>
      </c>
      <c r="D18" s="282" t="s">
        <v>642</v>
      </c>
      <c r="E18" s="282" t="s">
        <v>643</v>
      </c>
      <c r="F18" s="282" t="s">
        <v>644</v>
      </c>
      <c r="G18" s="299" t="s">
        <v>685</v>
      </c>
      <c r="H18" s="300" t="s">
        <v>686</v>
      </c>
      <c r="I18" s="282" t="s">
        <v>687</v>
      </c>
      <c r="J18" s="283" t="s">
        <v>648</v>
      </c>
      <c r="K18" s="284">
        <v>4193</v>
      </c>
      <c r="L18" s="283"/>
      <c r="M18" s="295"/>
      <c r="N18" s="290">
        <v>35</v>
      </c>
      <c r="O18" s="286">
        <v>223</v>
      </c>
      <c r="P18" s="286">
        <v>134</v>
      </c>
      <c r="Q18" s="290">
        <v>181</v>
      </c>
      <c r="R18" s="290">
        <v>161</v>
      </c>
      <c r="S18" s="290">
        <v>125</v>
      </c>
      <c r="T18" s="290">
        <v>167</v>
      </c>
      <c r="U18" s="295"/>
      <c r="V18" s="295"/>
      <c r="W18" s="295"/>
      <c r="X18" s="295"/>
      <c r="Y18" s="288"/>
      <c r="Z18" s="283"/>
    </row>
    <row customHeight="true" ht="13" r="19">
      <c r="A19" cm="1">
        <f t="array" ref="A19:A19">_xlfn.XLOOKUP(H19,'历史月度销量'!C:C,'历史月度销量'!C:C)</f>
      </c>
      <c r="B19" s="282">
        <v>20</v>
      </c>
      <c r="C19" s="282" t="s">
        <v>641</v>
      </c>
      <c r="D19" s="282" t="s">
        <v>642</v>
      </c>
      <c r="E19" s="282" t="s">
        <v>643</v>
      </c>
      <c r="F19" s="282" t="s">
        <v>644</v>
      </c>
      <c r="G19" s="299" t="s">
        <v>688</v>
      </c>
      <c r="H19" s="300" t="s">
        <v>689</v>
      </c>
      <c r="I19" s="282" t="s">
        <v>687</v>
      </c>
      <c r="J19" s="283" t="s">
        <v>648</v>
      </c>
      <c r="K19" s="284">
        <v>4193</v>
      </c>
      <c r="L19" s="283"/>
      <c r="M19" s="295"/>
      <c r="N19" s="290">
        <v>38</v>
      </c>
      <c r="O19" s="286">
        <v>343</v>
      </c>
      <c r="P19" s="286">
        <v>268</v>
      </c>
      <c r="Q19" s="290">
        <v>114</v>
      </c>
      <c r="R19" s="290">
        <v>100</v>
      </c>
      <c r="S19" s="295"/>
      <c r="T19" s="295"/>
      <c r="U19" s="295"/>
      <c r="V19" s="295"/>
      <c r="W19" s="295"/>
      <c r="X19" s="295"/>
      <c r="Y19" s="288"/>
      <c r="Z19" s="283"/>
    </row>
    <row customHeight="true" ht="13" r="20">
      <c r="A20" cm="1">
        <f t="array" ref="A20:A20">_xlfn.XLOOKUP(H20,'历史月度销量'!C:C,'历史月度销量'!C:C)</f>
      </c>
      <c r="B20" s="282">
        <v>21</v>
      </c>
      <c r="C20" s="282" t="s">
        <v>641</v>
      </c>
      <c r="D20" s="282" t="s">
        <v>642</v>
      </c>
      <c r="E20" s="282" t="s">
        <v>643</v>
      </c>
      <c r="F20" s="282" t="s">
        <v>644</v>
      </c>
      <c r="G20" s="282" t="s">
        <v>690</v>
      </c>
      <c r="H20" s="282" t="s">
        <v>691</v>
      </c>
      <c r="I20" s="282" t="s">
        <v>658</v>
      </c>
      <c r="J20" s="283" t="s">
        <v>648</v>
      </c>
      <c r="K20" s="284">
        <v>4193</v>
      </c>
      <c r="L20" s="283"/>
      <c r="M20" s="295"/>
      <c r="N20" s="286">
        <v>137</v>
      </c>
      <c r="O20" s="286">
        <v>701</v>
      </c>
      <c r="P20" s="286">
        <v>155</v>
      </c>
      <c r="Q20" s="295"/>
      <c r="R20" s="295"/>
      <c r="S20" s="295"/>
      <c r="T20" s="295"/>
      <c r="U20" s="295"/>
      <c r="V20" s="295"/>
      <c r="W20" s="295"/>
      <c r="X20" s="295"/>
      <c r="Y20" s="288"/>
      <c r="Z20" s="283"/>
    </row>
    <row customHeight="true" ht="13" r="21">
      <c r="A21" cm="1">
        <f t="array" ref="A21:A21">_xlfn.XLOOKUP(H21,'历史月度销量'!C:C,'历史月度销量'!C:C)</f>
      </c>
      <c r="B21" s="282">
        <v>21</v>
      </c>
      <c r="C21" s="282" t="s">
        <v>641</v>
      </c>
      <c r="D21" s="282" t="s">
        <v>642</v>
      </c>
      <c r="E21" s="282" t="s">
        <v>643</v>
      </c>
      <c r="F21" s="282" t="s">
        <v>644</v>
      </c>
      <c r="G21" s="282" t="s">
        <v>692</v>
      </c>
      <c r="H21" s="282" t="s">
        <v>693</v>
      </c>
      <c r="I21" s="282" t="s">
        <v>658</v>
      </c>
      <c r="J21" s="283" t="s">
        <v>648</v>
      </c>
      <c r="K21" s="284">
        <v>4193</v>
      </c>
      <c r="L21" s="283"/>
      <c r="M21" s="295"/>
      <c r="N21" s="285">
        <v>55</v>
      </c>
      <c r="O21" s="285">
        <v>822</v>
      </c>
      <c r="P21" s="285">
        <v>131</v>
      </c>
      <c r="Q21" s="285"/>
      <c r="R21" s="285"/>
      <c r="S21" s="295"/>
      <c r="T21" s="295"/>
      <c r="U21" s="295"/>
      <c r="V21" s="295"/>
      <c r="W21" s="295"/>
      <c r="X21" s="295"/>
      <c r="Y21" s="288"/>
      <c r="Z21" s="283"/>
    </row>
    <row customHeight="true" ht="13" r="22">
      <c r="A22" cm="1">
        <f t="array" ref="A22:A22">_xlfn.XLOOKUP(H22,'历史月度销量'!C:C,'历史月度销量'!C:C)</f>
      </c>
      <c r="B22" s="282">
        <v>21</v>
      </c>
      <c r="C22" s="282" t="s">
        <v>641</v>
      </c>
      <c r="D22" s="282" t="s">
        <v>642</v>
      </c>
      <c r="E22" s="282" t="s">
        <v>643</v>
      </c>
      <c r="F22" s="282" t="s">
        <v>644</v>
      </c>
      <c r="G22" s="299" t="s">
        <v>694</v>
      </c>
      <c r="H22" s="282" t="s">
        <v>695</v>
      </c>
      <c r="I22" s="282" t="s">
        <v>658</v>
      </c>
      <c r="J22" s="283" t="s">
        <v>648</v>
      </c>
      <c r="K22" s="284">
        <v>4193</v>
      </c>
      <c r="L22" s="283"/>
      <c r="M22" s="295"/>
      <c r="N22" s="286">
        <v>34</v>
      </c>
      <c r="O22" s="286">
        <v>190</v>
      </c>
      <c r="P22" s="286">
        <v>153</v>
      </c>
      <c r="Q22" s="286">
        <v>121</v>
      </c>
      <c r="R22" s="286">
        <v>103</v>
      </c>
      <c r="S22" s="286">
        <v>78</v>
      </c>
      <c r="T22" s="286">
        <v>93</v>
      </c>
      <c r="U22" s="295"/>
      <c r="V22" s="295"/>
      <c r="W22" s="295"/>
      <c r="X22" s="295"/>
      <c r="Y22" s="288"/>
      <c r="Z22" s="283"/>
    </row>
    <row customHeight="true" ht="13" r="23">
      <c r="A23" cm="1">
        <f t="array" ref="A23:A23">_xlfn.XLOOKUP(H23,'历史月度销量'!C:C,'历史月度销量'!C:C)</f>
      </c>
      <c r="B23" s="282">
        <v>22</v>
      </c>
      <c r="C23" s="282" t="s">
        <v>641</v>
      </c>
      <c r="D23" s="282" t="s">
        <v>642</v>
      </c>
      <c r="E23" s="282" t="s">
        <v>643</v>
      </c>
      <c r="F23" s="282" t="s">
        <v>644</v>
      </c>
      <c r="G23" s="282" t="s">
        <v>696</v>
      </c>
      <c r="H23" s="282" t="s">
        <v>689</v>
      </c>
      <c r="I23" s="282" t="s">
        <v>687</v>
      </c>
      <c r="J23" s="283" t="s">
        <v>648</v>
      </c>
      <c r="K23" s="284">
        <v>4193</v>
      </c>
      <c r="L23" s="283"/>
      <c r="M23" s="295"/>
      <c r="N23" s="286"/>
      <c r="O23" s="286"/>
      <c r="P23" s="286"/>
      <c r="Q23" s="286"/>
      <c r="R23" s="286"/>
      <c r="S23" s="286"/>
      <c r="T23" s="290">
        <v>116</v>
      </c>
      <c r="U23" s="286">
        <v>545</v>
      </c>
      <c r="V23" s="286">
        <v>146</v>
      </c>
      <c r="W23" s="295"/>
      <c r="X23" s="295"/>
      <c r="Y23" s="288"/>
      <c r="Z23" s="283"/>
    </row>
    <row customHeight="true" ht="13" r="24">
      <c r="A24" cm="1">
        <f t="array" ref="A24:A24">_xlfn.XLOOKUP(H24,'历史月度销量'!C:C,'历史月度销量'!C:C)</f>
      </c>
      <c r="B24" s="282">
        <v>23</v>
      </c>
      <c r="C24" s="282" t="s">
        <v>641</v>
      </c>
      <c r="D24" s="282" t="s">
        <v>642</v>
      </c>
      <c r="E24" s="282" t="s">
        <v>643</v>
      </c>
      <c r="F24" s="282" t="s">
        <v>644</v>
      </c>
      <c r="G24" s="282" t="s">
        <v>697</v>
      </c>
      <c r="H24" s="282" t="s">
        <v>693</v>
      </c>
      <c r="I24" s="282" t="s">
        <v>687</v>
      </c>
      <c r="J24" s="283" t="s">
        <v>648</v>
      </c>
      <c r="K24" s="284">
        <v>4193</v>
      </c>
      <c r="L24" s="283"/>
      <c r="M24" s="295"/>
      <c r="N24" s="286"/>
      <c r="O24" s="286"/>
      <c r="P24" s="286"/>
      <c r="Q24" s="286"/>
      <c r="R24" s="286"/>
      <c r="S24" s="286"/>
      <c r="T24" s="290">
        <v>168</v>
      </c>
      <c r="U24" s="286">
        <v>288</v>
      </c>
      <c r="V24" s="286">
        <v>260</v>
      </c>
      <c r="W24" s="286">
        <v>168</v>
      </c>
      <c r="X24" s="286">
        <v>77</v>
      </c>
      <c r="Y24" s="291"/>
      <c r="Z24" s="283"/>
    </row>
    <row customHeight="true" ht="13" r="25">
      <c r="A25" s="298" t="s">
        <v>698</v>
      </c>
      <c r="G25" s="301" t="s">
        <v>699</v>
      </c>
      <c r="M25" s="290">
        <v>324</v>
      </c>
      <c r="N25" s="302">
        <v>411</v>
      </c>
      <c r="O25" s="297">
        <v>1350</v>
      </c>
      <c r="P25" s="302">
        <v>1909</v>
      </c>
      <c r="Q25" s="303">
        <v>2589</v>
      </c>
      <c r="R25" s="290">
        <v>2636</v>
      </c>
      <c r="S25" s="290">
        <v>2087</v>
      </c>
      <c r="T25" s="290">
        <v>1867</v>
      </c>
      <c r="U25" s="290">
        <v>1361</v>
      </c>
      <c r="V25" s="290">
        <v>688</v>
      </c>
      <c r="W25" s="290">
        <v>321</v>
      </c>
      <c r="X25" s="295">
        <v>102</v>
      </c>
    </row>
  </sheetData>
  <pageMargins bottom="1" footer="0.5" header="0.5" left="0.75" right="0.75" top="1"/>
  <legacyDrawing r:id="rId1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6"/>
  <cols>
    <col collapsed="false" customWidth="true" hidden="false" max="1" min="1" style="0" width="11"/>
    <col collapsed="false" customWidth="true" hidden="false" max="3" min="3" style="0" width="11"/>
    <col collapsed="false" customWidth="true" hidden="false" max="5" min="5" style="0" width="11"/>
    <col collapsed="false" customWidth="true" hidden="false" max="7" min="7" style="0" width="11"/>
    <col collapsed="false" customWidth="true" hidden="false" max="9" min="9" style="0" width="12"/>
    <col collapsed="false" customWidth="true" hidden="false" max="11" min="11" style="0" width="7"/>
    <col collapsed="false" customWidth="true" hidden="false" max="38" min="38" style="0" width="7"/>
    <col collapsed="false" customWidth="true" hidden="false" max="2" min="2" style="0" width="11"/>
    <col collapsed="false" customWidth="true" hidden="false" max="4" min="4" style="0" width="11"/>
    <col collapsed="false" customWidth="true" hidden="false" max="6" min="6" style="0" width="16"/>
    <col collapsed="false" customWidth="true" hidden="false" max="8" min="8" style="0" width="12"/>
    <col collapsed="false" customWidth="true" hidden="false" max="10" min="10" style="0" width="7"/>
    <col collapsed="false" customWidth="true" hidden="false" max="12" min="12" style="0" width="7"/>
    <col collapsed="false" customWidth="true" hidden="false" max="18" min="18" style="0" width="9"/>
  </cols>
  <sheetData>
    <row customHeight="true" ht="13" r="1">
      <c r="A1" s="304"/>
      <c r="B1" s="304"/>
      <c r="C1" s="304"/>
      <c r="D1" s="304"/>
      <c r="E1" s="304"/>
      <c r="F1" s="304" t="s">
        <v>700</v>
      </c>
      <c r="G1" s="304" t="s">
        <v>701</v>
      </c>
      <c r="H1" s="305" t="s">
        <v>702</v>
      </c>
      <c r="L1" s="306" t="s">
        <v>703</v>
      </c>
      <c r="M1" s="306" t="s">
        <v>704</v>
      </c>
      <c r="N1" s="306" t="s">
        <v>705</v>
      </c>
      <c r="O1" s="306" t="s">
        <v>706</v>
      </c>
      <c r="P1" s="306" t="s">
        <v>707</v>
      </c>
      <c r="Q1" s="307" t="s">
        <v>708</v>
      </c>
      <c r="R1" s="307" t="s">
        <v>703</v>
      </c>
      <c r="S1" s="307">
        <v>202206</v>
      </c>
      <c r="T1" s="307">
        <v>202207</v>
      </c>
      <c r="U1" s="307">
        <v>202208</v>
      </c>
      <c r="V1" s="307">
        <v>202209</v>
      </c>
      <c r="W1" s="307">
        <v>202210</v>
      </c>
      <c r="X1" s="307">
        <v>202211</v>
      </c>
      <c r="Y1" s="307">
        <v>202212</v>
      </c>
      <c r="Z1" s="307">
        <v>202301</v>
      </c>
      <c r="AA1" s="307">
        <v>202302</v>
      </c>
      <c r="AB1" s="307">
        <v>202303</v>
      </c>
      <c r="AC1" s="307">
        <v>202304</v>
      </c>
      <c r="AD1" s="307">
        <v>202305</v>
      </c>
      <c r="AE1" s="307">
        <v>202306</v>
      </c>
      <c r="AF1" s="307">
        <v>202307</v>
      </c>
      <c r="AG1" s="307">
        <v>202308</v>
      </c>
      <c r="AH1" s="307">
        <v>202309</v>
      </c>
      <c r="AI1" s="307">
        <v>202310</v>
      </c>
      <c r="AJ1" s="307">
        <v>202311</v>
      </c>
      <c r="AK1" s="307">
        <v>202312</v>
      </c>
      <c r="AL1" s="307">
        <v>202401</v>
      </c>
      <c r="AM1" s="307">
        <v>202402</v>
      </c>
      <c r="AN1" s="307">
        <v>202403</v>
      </c>
      <c r="AO1" s="307">
        <v>202404</v>
      </c>
      <c r="AP1" s="307">
        <v>202405</v>
      </c>
      <c r="AQ1" s="308">
        <v>202406</v>
      </c>
      <c r="AR1" s="308">
        <v>202407</v>
      </c>
      <c r="AS1" s="308">
        <v>202408</v>
      </c>
      <c r="AT1" s="308">
        <v>202409</v>
      </c>
      <c r="AU1" s="308">
        <v>202410</v>
      </c>
      <c r="AV1" s="308">
        <v>202411</v>
      </c>
      <c r="AW1" s="308">
        <v>202412</v>
      </c>
      <c r="AX1" s="308">
        <v>202501</v>
      </c>
      <c r="AY1" s="308">
        <v>202502</v>
      </c>
      <c r="AZ1" s="308">
        <v>202503</v>
      </c>
      <c r="BA1" s="308">
        <v>202504</v>
      </c>
      <c r="BB1" s="308">
        <v>202505</v>
      </c>
      <c r="BC1" s="308">
        <v>202506</v>
      </c>
      <c r="BD1" s="308">
        <v>202507</v>
      </c>
      <c r="BE1" s="308">
        <v>202508</v>
      </c>
      <c r="BF1" s="308">
        <v>202509</v>
      </c>
      <c r="BG1" s="308">
        <v>202510</v>
      </c>
      <c r="BH1" s="308">
        <v>202511</v>
      </c>
      <c r="BI1" s="308">
        <v>202512</v>
      </c>
      <c r="BJ1" s="308">
        <v>202601</v>
      </c>
      <c r="BK1" s="308">
        <v>202602</v>
      </c>
      <c r="BL1" s="308">
        <v>202603</v>
      </c>
      <c r="BM1" s="308">
        <v>202604</v>
      </c>
      <c r="BN1" s="308">
        <v>202605</v>
      </c>
      <c r="BO1" s="308">
        <v>202606</v>
      </c>
      <c r="BP1" s="308">
        <v>202607</v>
      </c>
    </row>
    <row customHeight="true" ht="13" r="2">
      <c r="A2" s="304"/>
      <c r="B2" s="304"/>
      <c r="C2" s="304"/>
      <c r="D2" s="304"/>
      <c r="E2" s="304"/>
      <c r="F2" s="309">
        <f t="shared" ref="F2:F8" si="3">(C2-B2)/B2</f>
      </c>
      <c r="G2" s="309">
        <f t="shared" ref="G2:G8" si="4">(D2-C2)/C2</f>
      </c>
      <c r="H2" s="309">
        <f t="shared" ref="H2:H8" si="5">(E2-D2)/D2</f>
      </c>
      <c r="L2" s="306">
        <v>1</v>
      </c>
      <c r="M2">
        <f t="shared" ref="M2:M79" si="6">SUM(Z2:AE2)</f>
      </c>
      <c r="N2">
        <f t="shared" ref="N2:N79" si="0">SUM(AL2:AQ2)</f>
      </c>
      <c r="O2">
        <f t="shared" ref="O2:O79" si="1">SUM(AX2:BC2)</f>
      </c>
      <c r="P2">
        <f t="shared" ref="P2:P79" si="2">SUM(BJ2:BN2)+BP2</f>
      </c>
      <c r="Q2" s="310">
        <v>1</v>
      </c>
      <c r="R2" s="311" t="s">
        <v>709</v>
      </c>
      <c r="S2" s="312">
        <v>10329</v>
      </c>
      <c r="T2" s="312">
        <v>13063</v>
      </c>
      <c r="U2" s="312">
        <v>9606</v>
      </c>
      <c r="V2" s="312">
        <v>7304</v>
      </c>
      <c r="W2" s="312">
        <v>3591</v>
      </c>
      <c r="X2" s="312">
        <v>6535</v>
      </c>
      <c r="Y2" s="312">
        <v>7124</v>
      </c>
      <c r="Z2" s="312">
        <v>6690</v>
      </c>
      <c r="AA2" s="312">
        <v>7038</v>
      </c>
      <c r="AB2" s="312">
        <v>5835</v>
      </c>
      <c r="AC2" s="312">
        <v>9660</v>
      </c>
      <c r="AD2" s="312">
        <v>14225</v>
      </c>
      <c r="AE2" s="312">
        <v>16085</v>
      </c>
      <c r="AF2" s="312">
        <v>14839</v>
      </c>
      <c r="AG2" s="312">
        <v>13704</v>
      </c>
      <c r="AH2" s="312">
        <v>10853</v>
      </c>
      <c r="AI2" s="312">
        <v>9774</v>
      </c>
      <c r="AJ2" s="312">
        <v>12051</v>
      </c>
      <c r="AK2" s="312">
        <v>11144</v>
      </c>
      <c r="AL2" s="313">
        <v>11440</v>
      </c>
      <c r="AM2" s="313">
        <v>13010</v>
      </c>
      <c r="AN2" s="313">
        <v>14028</v>
      </c>
      <c r="AO2" s="313">
        <v>11367</v>
      </c>
      <c r="AP2" s="313">
        <v>16711</v>
      </c>
      <c r="AQ2" s="314">
        <v>16710</v>
      </c>
      <c r="AR2" s="315">
        <v>19819</v>
      </c>
      <c r="AS2" s="315">
        <v>21729</v>
      </c>
      <c r="AT2" s="315">
        <v>16530</v>
      </c>
      <c r="AU2" s="315">
        <v>14683</v>
      </c>
      <c r="AV2" s="315">
        <v>16180</v>
      </c>
      <c r="AW2" s="315">
        <v>11201</v>
      </c>
      <c r="AX2" s="315">
        <v>9495</v>
      </c>
      <c r="AY2" s="315">
        <v>9689</v>
      </c>
      <c r="AZ2" s="315">
        <v>11718</v>
      </c>
      <c r="BA2" s="315">
        <v>13987</v>
      </c>
      <c r="BB2" s="315">
        <v>18153</v>
      </c>
      <c r="BC2" s="315">
        <v>23183</v>
      </c>
      <c r="BD2" s="315">
        <v>17933</v>
      </c>
      <c r="BE2" s="315">
        <v>14686</v>
      </c>
      <c r="BF2" s="315">
        <v>9515</v>
      </c>
      <c r="BG2" s="315">
        <v>6831</v>
      </c>
      <c r="BH2" s="315">
        <v>8648</v>
      </c>
      <c r="BI2" s="315">
        <v>3987</v>
      </c>
      <c r="BJ2" s="315">
        <v>4109</v>
      </c>
      <c r="BK2" s="315">
        <v>5255</v>
      </c>
      <c r="BL2" s="315">
        <v>11564</v>
      </c>
      <c r="BM2" s="315">
        <v>14501</v>
      </c>
      <c r="BN2" s="315">
        <v>17343</v>
      </c>
      <c r="BO2" s="315">
        <v>22050</v>
      </c>
      <c r="BP2" s="316">
        <v>14350</v>
      </c>
      <c r="BQ2" s="306">
        <v>420405</v>
      </c>
    </row>
    <row customHeight="true" ht="13" r="3">
      <c r="A3" s="304"/>
      <c r="B3" s="304"/>
      <c r="C3" s="304"/>
      <c r="D3" s="304"/>
      <c r="E3" s="304"/>
      <c r="F3" s="309">
        <f t="shared" si="3"/>
      </c>
      <c r="G3" s="309">
        <f t="shared" si="4"/>
      </c>
      <c r="H3" s="309">
        <f t="shared" si="5"/>
      </c>
      <c r="L3" s="317" t="s">
        <v>710</v>
      </c>
      <c r="M3">
        <f t="shared" si="6"/>
      </c>
      <c r="N3">
        <f t="shared" si="0"/>
      </c>
      <c r="O3">
        <f t="shared" si="1"/>
      </c>
      <c r="P3">
        <f t="shared" si="2"/>
      </c>
      <c r="Q3" s="310">
        <v>2</v>
      </c>
      <c r="R3" s="311" t="s">
        <v>709</v>
      </c>
      <c r="S3" s="312">
        <v>5789</v>
      </c>
      <c r="T3" s="312">
        <v>9626</v>
      </c>
      <c r="U3" s="312">
        <v>6604</v>
      </c>
      <c r="V3" s="312">
        <v>3381</v>
      </c>
      <c r="W3" s="312">
        <v>3355</v>
      </c>
      <c r="X3" s="312">
        <v>5479</v>
      </c>
      <c r="Y3" s="312">
        <v>5606</v>
      </c>
      <c r="Z3" s="312">
        <v>2330</v>
      </c>
      <c r="AA3" s="312">
        <v>3570</v>
      </c>
      <c r="AB3" s="312">
        <v>4172</v>
      </c>
      <c r="AC3" s="312">
        <v>5962</v>
      </c>
      <c r="AD3" s="312">
        <v>10047</v>
      </c>
      <c r="AE3" s="312">
        <v>10819</v>
      </c>
      <c r="AF3" s="312">
        <v>13540</v>
      </c>
      <c r="AG3" s="312">
        <v>7639</v>
      </c>
      <c r="AH3" s="312">
        <v>8865</v>
      </c>
      <c r="AI3" s="312">
        <v>5792</v>
      </c>
      <c r="AJ3" s="312">
        <v>8458</v>
      </c>
      <c r="AK3" s="312">
        <v>3611</v>
      </c>
      <c r="AL3" s="313">
        <v>2590</v>
      </c>
      <c r="AM3" s="313">
        <v>3206</v>
      </c>
      <c r="AN3" s="313">
        <v>6334</v>
      </c>
      <c r="AO3" s="313">
        <v>9624</v>
      </c>
      <c r="AP3" s="313">
        <v>15449</v>
      </c>
      <c r="AQ3" s="314">
        <v>16560</v>
      </c>
      <c r="AR3" s="315">
        <v>12106</v>
      </c>
      <c r="AS3" s="315">
        <v>9146</v>
      </c>
      <c r="AT3" s="315">
        <v>10007</v>
      </c>
      <c r="AU3" s="315">
        <v>7778</v>
      </c>
      <c r="AV3" s="315">
        <v>8151</v>
      </c>
      <c r="AW3" s="315">
        <v>3321</v>
      </c>
      <c r="AX3" s="315">
        <v>3915</v>
      </c>
      <c r="AY3" s="315">
        <v>3250</v>
      </c>
      <c r="AZ3" s="315">
        <v>6229</v>
      </c>
      <c r="BA3" s="315">
        <v>10451</v>
      </c>
      <c r="BB3" s="315">
        <v>15894</v>
      </c>
      <c r="BC3" s="315">
        <v>18541</v>
      </c>
      <c r="BD3" s="315">
        <v>14299</v>
      </c>
      <c r="BE3" s="315">
        <v>10999</v>
      </c>
      <c r="BF3" s="315">
        <v>9486</v>
      </c>
      <c r="BG3" s="315">
        <v>6465</v>
      </c>
      <c r="BH3" s="315">
        <v>8584</v>
      </c>
      <c r="BI3" s="315">
        <v>3679</v>
      </c>
      <c r="BJ3" s="315">
        <v>3479</v>
      </c>
      <c r="BK3" s="315">
        <v>4137</v>
      </c>
      <c r="BL3" s="315">
        <v>10605</v>
      </c>
      <c r="BM3" s="315">
        <v>13977</v>
      </c>
      <c r="BN3" s="315">
        <v>15672</v>
      </c>
      <c r="BO3" s="315">
        <v>19634</v>
      </c>
      <c r="BP3" s="316">
        <v>12043</v>
      </c>
      <c r="BQ3" s="306">
        <v>295611</v>
      </c>
    </row>
    <row customHeight="true" ht="13" r="4">
      <c r="A4" s="304"/>
      <c r="B4" s="304"/>
      <c r="C4" s="304"/>
      <c r="D4" s="304"/>
      <c r="E4" s="304"/>
      <c r="F4" s="309">
        <f t="shared" si="3"/>
      </c>
      <c r="G4" s="309">
        <f t="shared" si="4"/>
      </c>
      <c r="H4" s="309">
        <f t="shared" si="5"/>
      </c>
      <c r="L4" s="317" t="s">
        <v>710</v>
      </c>
      <c r="M4">
        <f t="shared" si="6"/>
      </c>
      <c r="N4">
        <f t="shared" si="0"/>
      </c>
      <c r="O4">
        <f t="shared" si="1"/>
      </c>
      <c r="P4">
        <f t="shared" si="2"/>
      </c>
      <c r="Q4" s="310">
        <v>3</v>
      </c>
      <c r="R4" s="311" t="s">
        <v>709</v>
      </c>
      <c r="S4" s="312">
        <v>5473</v>
      </c>
      <c r="T4" s="312">
        <v>9105</v>
      </c>
      <c r="U4" s="312">
        <v>4019</v>
      </c>
      <c r="V4" s="312">
        <v>2021</v>
      </c>
      <c r="W4" s="312">
        <v>2728</v>
      </c>
      <c r="X4" s="312">
        <v>2104</v>
      </c>
      <c r="Y4" s="312">
        <v>2206</v>
      </c>
      <c r="Z4" s="312">
        <v>1798</v>
      </c>
      <c r="AA4" s="312">
        <v>2755</v>
      </c>
      <c r="AB4" s="312">
        <v>3959</v>
      </c>
      <c r="AC4" s="312">
        <v>5900</v>
      </c>
      <c r="AD4" s="312">
        <v>9929</v>
      </c>
      <c r="AE4" s="312">
        <v>9232</v>
      </c>
      <c r="AF4" s="312">
        <v>12459</v>
      </c>
      <c r="AG4" s="312">
        <v>7406</v>
      </c>
      <c r="AH4" s="312">
        <v>6356</v>
      </c>
      <c r="AI4" s="312">
        <v>4631</v>
      </c>
      <c r="AJ4" s="312">
        <v>8405</v>
      </c>
      <c r="AK4" s="312">
        <v>2882</v>
      </c>
      <c r="AL4" s="313">
        <v>2273</v>
      </c>
      <c r="AM4" s="313">
        <v>3082</v>
      </c>
      <c r="AN4" s="313">
        <v>6330</v>
      </c>
      <c r="AO4" s="313">
        <v>5814</v>
      </c>
      <c r="AP4" s="313">
        <v>14067</v>
      </c>
      <c r="AQ4" s="314">
        <v>14908</v>
      </c>
      <c r="AR4" s="315">
        <v>10953</v>
      </c>
      <c r="AS4" s="315">
        <v>7037</v>
      </c>
      <c r="AT4" s="315">
        <v>7674</v>
      </c>
      <c r="AU4" s="315">
        <v>5820</v>
      </c>
      <c r="AV4" s="315">
        <v>7464</v>
      </c>
      <c r="AW4" s="315">
        <v>3224</v>
      </c>
      <c r="AX4" s="315">
        <v>2832</v>
      </c>
      <c r="AY4" s="315">
        <v>2835</v>
      </c>
      <c r="AZ4" s="315">
        <v>5541</v>
      </c>
      <c r="BA4" s="315">
        <v>9592</v>
      </c>
      <c r="BB4" s="315">
        <v>13977</v>
      </c>
      <c r="BC4" s="315">
        <v>12938</v>
      </c>
      <c r="BD4" s="315">
        <v>11445</v>
      </c>
      <c r="BE4" s="315">
        <v>9116</v>
      </c>
      <c r="BF4" s="315">
        <v>8731</v>
      </c>
      <c r="BG4" s="315">
        <v>6309</v>
      </c>
      <c r="BH4" s="315">
        <v>4991</v>
      </c>
      <c r="BI4" s="315">
        <v>3368</v>
      </c>
      <c r="BJ4" s="315">
        <v>3034</v>
      </c>
      <c r="BK4" s="315">
        <v>3933</v>
      </c>
      <c r="BL4" s="315">
        <v>7895</v>
      </c>
      <c r="BM4" s="315">
        <v>11415</v>
      </c>
      <c r="BN4" s="315">
        <v>14886</v>
      </c>
      <c r="BO4" s="315">
        <v>18306</v>
      </c>
      <c r="BP4" s="316">
        <v>9614</v>
      </c>
      <c r="BQ4" s="306">
        <v>249404</v>
      </c>
    </row>
    <row customHeight="true" ht="13" r="5">
      <c r="A5" s="304"/>
      <c r="B5" s="304"/>
      <c r="C5" s="304"/>
      <c r="D5" s="304"/>
      <c r="E5" s="304"/>
      <c r="F5" s="309">
        <f t="shared" si="3"/>
      </c>
      <c r="G5" s="309">
        <f t="shared" si="4"/>
      </c>
      <c r="H5" s="309">
        <f t="shared" si="5"/>
      </c>
      <c r="L5" s="317" t="s">
        <v>710</v>
      </c>
      <c r="M5">
        <f t="shared" si="6"/>
      </c>
      <c r="N5">
        <f t="shared" si="0"/>
      </c>
      <c r="O5">
        <f t="shared" si="1"/>
      </c>
      <c r="P5">
        <f t="shared" si="2"/>
      </c>
      <c r="Q5" s="310">
        <v>4</v>
      </c>
      <c r="R5" s="311" t="s">
        <v>709</v>
      </c>
      <c r="S5" s="312">
        <v>4407</v>
      </c>
      <c r="T5" s="312">
        <v>5611</v>
      </c>
      <c r="U5" s="312">
        <v>3069</v>
      </c>
      <c r="V5" s="312">
        <v>1951</v>
      </c>
      <c r="W5" s="312">
        <v>1513</v>
      </c>
      <c r="X5" s="312">
        <v>1471</v>
      </c>
      <c r="Y5" s="312">
        <v>1655</v>
      </c>
      <c r="Z5" s="312">
        <v>1448</v>
      </c>
      <c r="AA5" s="312">
        <v>2460</v>
      </c>
      <c r="AB5" s="312">
        <v>3859</v>
      </c>
      <c r="AC5" s="312">
        <v>5873</v>
      </c>
      <c r="AD5" s="312">
        <v>7565</v>
      </c>
      <c r="AE5" s="312">
        <v>8397</v>
      </c>
      <c r="AF5" s="312">
        <v>10524</v>
      </c>
      <c r="AG5" s="312">
        <v>7302</v>
      </c>
      <c r="AH5" s="312">
        <v>5336</v>
      </c>
      <c r="AI5" s="312">
        <v>3911</v>
      </c>
      <c r="AJ5" s="312">
        <v>5390</v>
      </c>
      <c r="AK5" s="312">
        <v>2191</v>
      </c>
      <c r="AL5" s="313">
        <v>1869</v>
      </c>
      <c r="AM5" s="313">
        <v>3068</v>
      </c>
      <c r="AN5" s="313">
        <v>6211</v>
      </c>
      <c r="AO5" s="313">
        <v>5624</v>
      </c>
      <c r="AP5" s="313">
        <v>10199</v>
      </c>
      <c r="AQ5" s="314">
        <v>11460</v>
      </c>
      <c r="AR5" s="315">
        <v>10055</v>
      </c>
      <c r="AS5" s="315">
        <v>6449</v>
      </c>
      <c r="AT5" s="315">
        <v>5663</v>
      </c>
      <c r="AU5" s="315">
        <v>5501</v>
      </c>
      <c r="AV5" s="315">
        <v>5046</v>
      </c>
      <c r="AW5" s="315">
        <v>3208</v>
      </c>
      <c r="AX5" s="315">
        <v>2204</v>
      </c>
      <c r="AY5" s="315">
        <v>2542</v>
      </c>
      <c r="AZ5" s="315">
        <v>4878</v>
      </c>
      <c r="BA5" s="315">
        <v>8312</v>
      </c>
      <c r="BB5" s="315">
        <v>9135</v>
      </c>
      <c r="BC5" s="315">
        <v>8662</v>
      </c>
      <c r="BD5" s="315">
        <v>8305</v>
      </c>
      <c r="BE5" s="315">
        <v>8750</v>
      </c>
      <c r="BF5" s="315">
        <v>6931</v>
      </c>
      <c r="BG5" s="315">
        <v>5569</v>
      </c>
      <c r="BH5" s="315">
        <v>4670</v>
      </c>
      <c r="BI5" s="315">
        <v>3122</v>
      </c>
      <c r="BJ5" s="315">
        <v>1993</v>
      </c>
      <c r="BK5" s="315">
        <v>3325</v>
      </c>
      <c r="BL5" s="315">
        <v>4960</v>
      </c>
      <c r="BM5" s="315">
        <v>7448</v>
      </c>
      <c r="BN5" s="315">
        <v>10355</v>
      </c>
      <c r="BO5" s="315">
        <v>10681</v>
      </c>
      <c r="BP5" s="316">
        <v>9072</v>
      </c>
      <c r="BQ5" s="306">
        <v>195267</v>
      </c>
    </row>
    <row customHeight="true" ht="13" r="6">
      <c r="A6" s="304"/>
      <c r="B6" s="304"/>
      <c r="C6" s="304"/>
      <c r="D6" s="304"/>
      <c r="E6" s="304"/>
      <c r="F6" s="309">
        <f t="shared" si="3"/>
      </c>
      <c r="G6" s="309">
        <f t="shared" si="4"/>
      </c>
      <c r="H6" s="309">
        <f t="shared" si="5"/>
      </c>
      <c r="L6" s="317" t="s">
        <v>710</v>
      </c>
      <c r="M6">
        <f t="shared" si="6"/>
      </c>
      <c r="N6">
        <f t="shared" si="0"/>
      </c>
      <c r="O6">
        <f t="shared" si="1"/>
      </c>
      <c r="P6">
        <f t="shared" si="2"/>
      </c>
      <c r="Q6" s="310">
        <v>5</v>
      </c>
      <c r="R6" s="311" t="s">
        <v>709</v>
      </c>
      <c r="S6" s="312">
        <v>2670</v>
      </c>
      <c r="T6" s="312">
        <v>4265</v>
      </c>
      <c r="U6" s="312">
        <v>2734</v>
      </c>
      <c r="V6" s="312">
        <v>1869</v>
      </c>
      <c r="W6" s="312">
        <v>1495</v>
      </c>
      <c r="X6" s="312">
        <v>1452</v>
      </c>
      <c r="Y6" s="312">
        <v>1443</v>
      </c>
      <c r="Z6" s="312">
        <v>1232</v>
      </c>
      <c r="AA6" s="312">
        <v>1970</v>
      </c>
      <c r="AB6" s="312">
        <v>3484</v>
      </c>
      <c r="AC6" s="312">
        <v>5470</v>
      </c>
      <c r="AD6" s="312">
        <v>7505</v>
      </c>
      <c r="AE6" s="312">
        <v>6225</v>
      </c>
      <c r="AF6" s="312">
        <v>8405</v>
      </c>
      <c r="AG6" s="312">
        <v>6474</v>
      </c>
      <c r="AH6" s="312">
        <v>5278</v>
      </c>
      <c r="AI6" s="312">
        <v>3819</v>
      </c>
      <c r="AJ6" s="312">
        <v>4207</v>
      </c>
      <c r="AK6" s="312">
        <v>2131</v>
      </c>
      <c r="AL6" s="313">
        <v>1842</v>
      </c>
      <c r="AM6" s="313">
        <v>2861</v>
      </c>
      <c r="AN6" s="313">
        <v>5294</v>
      </c>
      <c r="AO6" s="313">
        <v>5602</v>
      </c>
      <c r="AP6" s="313">
        <v>9024</v>
      </c>
      <c r="AQ6" s="314">
        <v>9483</v>
      </c>
      <c r="AR6" s="315">
        <v>9969</v>
      </c>
      <c r="AS6" s="315">
        <v>5696</v>
      </c>
      <c r="AT6" s="315">
        <v>5660</v>
      </c>
      <c r="AU6" s="315">
        <v>5048</v>
      </c>
      <c r="AV6" s="315">
        <v>4847</v>
      </c>
      <c r="AW6" s="315">
        <v>3175</v>
      </c>
      <c r="AX6" s="315">
        <v>1870</v>
      </c>
      <c r="AY6" s="315">
        <v>2295</v>
      </c>
      <c r="AZ6" s="315">
        <v>4427</v>
      </c>
      <c r="BA6" s="315">
        <v>5369</v>
      </c>
      <c r="BB6" s="315">
        <v>8503</v>
      </c>
      <c r="BC6" s="315">
        <v>8436</v>
      </c>
      <c r="BD6" s="315">
        <v>8299</v>
      </c>
      <c r="BE6" s="315">
        <v>5924</v>
      </c>
      <c r="BF6" s="315">
        <v>6427</v>
      </c>
      <c r="BG6" s="315">
        <v>3749</v>
      </c>
      <c r="BH6" s="315">
        <v>4641</v>
      </c>
      <c r="BI6" s="315">
        <v>3064</v>
      </c>
      <c r="BJ6" s="315">
        <v>1905</v>
      </c>
      <c r="BK6" s="315">
        <v>2618</v>
      </c>
      <c r="BL6" s="315">
        <v>4933</v>
      </c>
      <c r="BM6" s="315">
        <v>7102</v>
      </c>
      <c r="BN6" s="315">
        <v>6789</v>
      </c>
      <c r="BO6" s="315">
        <v>9499</v>
      </c>
      <c r="BP6" s="316">
        <v>8470</v>
      </c>
      <c r="BQ6" s="306">
        <v>172821</v>
      </c>
    </row>
    <row customHeight="true" ht="13" r="7">
      <c r="A7" s="304"/>
      <c r="B7" s="304"/>
      <c r="C7" s="304"/>
      <c r="D7" s="304"/>
      <c r="E7" s="304"/>
      <c r="F7" s="309">
        <f t="shared" si="3"/>
      </c>
      <c r="G7" s="309">
        <f t="shared" si="4"/>
      </c>
      <c r="H7" s="309">
        <f t="shared" si="5"/>
      </c>
      <c r="L7" s="318" t="s">
        <v>711</v>
      </c>
      <c r="M7">
        <f t="shared" si="6"/>
      </c>
      <c r="N7">
        <f t="shared" si="0"/>
      </c>
      <c r="O7">
        <f t="shared" si="1"/>
      </c>
      <c r="P7">
        <f t="shared" si="2"/>
      </c>
      <c r="Q7" s="310">
        <v>6</v>
      </c>
      <c r="R7" s="311" t="s">
        <v>709</v>
      </c>
      <c r="S7" s="312">
        <v>2496</v>
      </c>
      <c r="T7" s="312">
        <v>3442</v>
      </c>
      <c r="U7" s="312">
        <v>2432</v>
      </c>
      <c r="V7" s="312">
        <v>1823</v>
      </c>
      <c r="W7" s="312">
        <v>1470</v>
      </c>
      <c r="X7" s="312">
        <v>1136</v>
      </c>
      <c r="Y7" s="312">
        <v>1080</v>
      </c>
      <c r="Z7" s="312">
        <v>1130</v>
      </c>
      <c r="AA7" s="312">
        <v>1969</v>
      </c>
      <c r="AB7" s="312">
        <v>2976</v>
      </c>
      <c r="AC7" s="312">
        <v>5422</v>
      </c>
      <c r="AD7" s="312">
        <v>5411</v>
      </c>
      <c r="AE7" s="312">
        <v>5844</v>
      </c>
      <c r="AF7" s="312">
        <v>7728</v>
      </c>
      <c r="AG7" s="312">
        <v>5841</v>
      </c>
      <c r="AH7" s="312">
        <v>4615</v>
      </c>
      <c r="AI7" s="312">
        <v>3713</v>
      </c>
      <c r="AJ7" s="312">
        <v>3694</v>
      </c>
      <c r="AK7" s="312">
        <v>2124</v>
      </c>
      <c r="AL7" s="313">
        <v>1788</v>
      </c>
      <c r="AM7" s="313">
        <v>2854</v>
      </c>
      <c r="AN7" s="313">
        <v>5241</v>
      </c>
      <c r="AO7" s="313">
        <v>5233</v>
      </c>
      <c r="AP7" s="313">
        <v>8723</v>
      </c>
      <c r="AQ7" s="314">
        <v>8306</v>
      </c>
      <c r="AR7" s="315">
        <v>6661</v>
      </c>
      <c r="AS7" s="315">
        <v>4530</v>
      </c>
      <c r="AT7" s="315">
        <v>5242</v>
      </c>
      <c r="AU7" s="315">
        <v>4530</v>
      </c>
      <c r="AV7" s="315">
        <v>4052</v>
      </c>
      <c r="AW7" s="315">
        <v>2359</v>
      </c>
      <c r="AX7" s="315">
        <v>1715</v>
      </c>
      <c r="AY7" s="315">
        <v>2136</v>
      </c>
      <c r="AZ7" s="315">
        <v>4195</v>
      </c>
      <c r="BA7" s="315">
        <v>5277</v>
      </c>
      <c r="BB7" s="315">
        <v>7587</v>
      </c>
      <c r="BC7" s="315">
        <v>7511</v>
      </c>
      <c r="BD7" s="315">
        <v>7142</v>
      </c>
      <c r="BE7" s="315">
        <v>4593</v>
      </c>
      <c r="BF7" s="315">
        <v>5629</v>
      </c>
      <c r="BG7" s="315">
        <v>3520</v>
      </c>
      <c r="BH7" s="315">
        <v>4587</v>
      </c>
      <c r="BI7" s="315">
        <v>1990</v>
      </c>
      <c r="BJ7" s="315">
        <v>1753</v>
      </c>
      <c r="BK7" s="315">
        <v>2200</v>
      </c>
      <c r="BL7" s="315">
        <v>4123</v>
      </c>
      <c r="BM7" s="315">
        <v>6012</v>
      </c>
      <c r="BN7" s="315">
        <v>6356</v>
      </c>
      <c r="BO7" s="315">
        <v>8968</v>
      </c>
      <c r="BP7" s="316">
        <v>5373</v>
      </c>
      <c r="BQ7" s="306">
        <v>150186</v>
      </c>
    </row>
    <row customHeight="true" ht="13" r="8">
      <c r="A8" s="304"/>
      <c r="B8" s="304"/>
      <c r="C8" s="304"/>
      <c r="D8" s="304"/>
      <c r="E8" s="304"/>
      <c r="F8" s="309">
        <f t="shared" si="3"/>
      </c>
      <c r="G8" s="309">
        <f t="shared" si="4"/>
      </c>
      <c r="H8" s="309">
        <f t="shared" si="5"/>
      </c>
      <c r="L8" s="318" t="s">
        <v>711</v>
      </c>
      <c r="M8">
        <f t="shared" si="6"/>
      </c>
      <c r="N8">
        <f t="shared" si="0"/>
      </c>
      <c r="O8">
        <f t="shared" si="1"/>
      </c>
      <c r="P8">
        <f t="shared" si="2"/>
      </c>
      <c r="Q8" s="310">
        <v>7</v>
      </c>
      <c r="R8" s="311" t="s">
        <v>709</v>
      </c>
      <c r="S8" s="312">
        <v>2391</v>
      </c>
      <c r="T8" s="312">
        <v>3441</v>
      </c>
      <c r="U8" s="312">
        <v>2201</v>
      </c>
      <c r="V8" s="312">
        <v>1736</v>
      </c>
      <c r="W8" s="312">
        <v>1248</v>
      </c>
      <c r="X8" s="312">
        <v>1033</v>
      </c>
      <c r="Y8" s="312">
        <v>1068</v>
      </c>
      <c r="Z8" s="312">
        <v>1044</v>
      </c>
      <c r="AA8" s="312">
        <v>1933</v>
      </c>
      <c r="AB8" s="312">
        <v>2868</v>
      </c>
      <c r="AC8" s="312">
        <v>4165</v>
      </c>
      <c r="AD8" s="312">
        <v>5152</v>
      </c>
      <c r="AE8" s="312">
        <v>5822</v>
      </c>
      <c r="AF8" s="312">
        <v>6934</v>
      </c>
      <c r="AG8" s="312">
        <v>4580</v>
      </c>
      <c r="AH8" s="312">
        <v>4373</v>
      </c>
      <c r="AI8" s="312">
        <v>3234</v>
      </c>
      <c r="AJ8" s="312">
        <v>3329</v>
      </c>
      <c r="AK8" s="312">
        <v>1671</v>
      </c>
      <c r="AL8" s="313">
        <v>1692</v>
      </c>
      <c r="AM8" s="313">
        <v>2836</v>
      </c>
      <c r="AN8" s="313">
        <v>4860</v>
      </c>
      <c r="AO8" s="313">
        <v>4897</v>
      </c>
      <c r="AP8" s="313">
        <v>7886</v>
      </c>
      <c r="AQ8" s="314">
        <v>8183</v>
      </c>
      <c r="AR8" s="315">
        <v>6173</v>
      </c>
      <c r="AS8" s="315">
        <v>4197</v>
      </c>
      <c r="AT8" s="315">
        <v>4685</v>
      </c>
      <c r="AU8" s="315">
        <v>4318</v>
      </c>
      <c r="AV8" s="315">
        <v>3893</v>
      </c>
      <c r="AW8" s="315">
        <v>2255</v>
      </c>
      <c r="AX8" s="315">
        <v>1542</v>
      </c>
      <c r="AY8" s="315">
        <v>1703</v>
      </c>
      <c r="AZ8" s="315">
        <v>4019</v>
      </c>
      <c r="BA8" s="315">
        <v>5190</v>
      </c>
      <c r="BB8" s="315">
        <v>7006</v>
      </c>
      <c r="BC8" s="315">
        <v>6944</v>
      </c>
      <c r="BD8" s="315">
        <v>6411</v>
      </c>
      <c r="BE8" s="315">
        <v>4508</v>
      </c>
      <c r="BF8" s="315">
        <v>3399</v>
      </c>
      <c r="BG8" s="315">
        <v>3104</v>
      </c>
      <c r="BH8" s="315">
        <v>2793</v>
      </c>
      <c r="BI8" s="315">
        <v>1680</v>
      </c>
      <c r="BJ8" s="315">
        <v>1738</v>
      </c>
      <c r="BK8" s="315">
        <v>2174</v>
      </c>
      <c r="BL8" s="315">
        <v>4068</v>
      </c>
      <c r="BM8" s="315">
        <v>5601</v>
      </c>
      <c r="BN8" s="315">
        <v>5828</v>
      </c>
      <c r="BO8" s="315">
        <v>8683</v>
      </c>
      <c r="BP8" s="316">
        <v>4833</v>
      </c>
      <c r="BQ8" s="306">
        <v>137099</v>
      </c>
    </row>
    <row customHeight="true" ht="13" r="9">
      <c r="A9" s="304"/>
      <c r="B9" s="304"/>
      <c r="C9" s="304"/>
      <c r="D9" s="304"/>
      <c r="E9" s="304"/>
      <c r="I9">
        <f>SUM(F2:H8)</f>
      </c>
      <c r="L9" s="318" t="s">
        <v>711</v>
      </c>
      <c r="M9">
        <f t="shared" si="6"/>
      </c>
      <c r="N9">
        <f t="shared" si="0"/>
      </c>
      <c r="O9">
        <f t="shared" si="1"/>
      </c>
      <c r="P9">
        <f t="shared" si="2"/>
      </c>
      <c r="Q9" s="310">
        <v>8</v>
      </c>
      <c r="R9" s="311" t="s">
        <v>709</v>
      </c>
      <c r="S9" s="312">
        <v>2318</v>
      </c>
      <c r="T9" s="312">
        <v>2928</v>
      </c>
      <c r="U9" s="312">
        <v>2155</v>
      </c>
      <c r="V9" s="312">
        <v>1558</v>
      </c>
      <c r="W9" s="312">
        <v>1196</v>
      </c>
      <c r="X9" s="312">
        <v>875</v>
      </c>
      <c r="Y9" s="312">
        <v>966</v>
      </c>
      <c r="Z9" s="312">
        <v>1033</v>
      </c>
      <c r="AA9" s="312">
        <v>1707</v>
      </c>
      <c r="AB9" s="312">
        <v>2753</v>
      </c>
      <c r="AC9" s="312">
        <v>4162</v>
      </c>
      <c r="AD9" s="312">
        <v>5106</v>
      </c>
      <c r="AE9" s="312">
        <v>5479</v>
      </c>
      <c r="AF9" s="312">
        <v>6843</v>
      </c>
      <c r="AG9" s="312">
        <v>4458</v>
      </c>
      <c r="AH9" s="312">
        <v>3817</v>
      </c>
      <c r="AI9" s="312">
        <v>3170</v>
      </c>
      <c r="AJ9" s="312">
        <v>2320</v>
      </c>
      <c r="AK9" s="312">
        <v>1367</v>
      </c>
      <c r="AL9" s="313">
        <v>1534</v>
      </c>
      <c r="AM9" s="313">
        <v>2757</v>
      </c>
      <c r="AN9" s="313">
        <v>4781</v>
      </c>
      <c r="AO9" s="313">
        <v>4826</v>
      </c>
      <c r="AP9" s="313">
        <v>6895</v>
      </c>
      <c r="AQ9" s="314">
        <v>7605</v>
      </c>
      <c r="AR9" s="315">
        <v>5866</v>
      </c>
      <c r="AS9" s="315">
        <v>3629</v>
      </c>
      <c r="AT9" s="315">
        <v>3718</v>
      </c>
      <c r="AU9" s="315">
        <v>2922</v>
      </c>
      <c r="AV9" s="315">
        <v>3882</v>
      </c>
      <c r="AW9" s="315">
        <v>2145</v>
      </c>
      <c r="AX9" s="315">
        <v>1416</v>
      </c>
      <c r="AY9" s="315">
        <v>1694</v>
      </c>
      <c r="AZ9" s="315">
        <v>3689</v>
      </c>
      <c r="BA9" s="315">
        <v>5143</v>
      </c>
      <c r="BB9" s="315">
        <v>6186</v>
      </c>
      <c r="BC9" s="315">
        <v>6584</v>
      </c>
      <c r="BD9" s="315">
        <v>6161</v>
      </c>
      <c r="BE9" s="315">
        <v>4280</v>
      </c>
      <c r="BF9" s="315">
        <v>2847</v>
      </c>
      <c r="BG9" s="315">
        <v>3080</v>
      </c>
      <c r="BH9" s="315">
        <v>2781</v>
      </c>
      <c r="BI9" s="315">
        <v>1521</v>
      </c>
      <c r="BJ9" s="315">
        <v>1723</v>
      </c>
      <c r="BK9" s="315">
        <v>1819</v>
      </c>
      <c r="BL9" s="315">
        <v>3932</v>
      </c>
      <c r="BM9" s="315">
        <v>5214</v>
      </c>
      <c r="BN9" s="315">
        <v>5731</v>
      </c>
      <c r="BO9" s="315">
        <v>7374</v>
      </c>
      <c r="BP9" s="316">
        <v>4521</v>
      </c>
      <c r="BQ9" s="306">
        <v>126256</v>
      </c>
    </row>
    <row customHeight="true" ht="13" r="10">
      <c r="A10" s="304"/>
      <c r="L10" s="318" t="s">
        <v>711</v>
      </c>
      <c r="M10">
        <f t="shared" si="6"/>
      </c>
      <c r="N10">
        <f t="shared" si="0"/>
      </c>
      <c r="O10">
        <f t="shared" si="1"/>
      </c>
      <c r="P10">
        <f t="shared" si="2"/>
      </c>
      <c r="Q10" s="310">
        <v>9</v>
      </c>
      <c r="R10" s="311" t="s">
        <v>709</v>
      </c>
      <c r="S10" s="312">
        <v>2318</v>
      </c>
      <c r="T10" s="312">
        <v>2709</v>
      </c>
      <c r="U10" s="312">
        <v>2013</v>
      </c>
      <c r="V10" s="312">
        <v>1479</v>
      </c>
      <c r="W10" s="312">
        <v>1078</v>
      </c>
      <c r="X10" s="312">
        <v>828</v>
      </c>
      <c r="Y10" s="312">
        <v>924</v>
      </c>
      <c r="Z10" s="312">
        <v>1010</v>
      </c>
      <c r="AA10" s="312">
        <v>1285</v>
      </c>
      <c r="AB10" s="312">
        <v>2218</v>
      </c>
      <c r="AC10" s="312">
        <v>4141</v>
      </c>
      <c r="AD10" s="312">
        <v>4557</v>
      </c>
      <c r="AE10" s="312">
        <v>5119</v>
      </c>
      <c r="AF10" s="312">
        <v>6053</v>
      </c>
      <c r="AG10" s="312">
        <v>4195</v>
      </c>
      <c r="AH10" s="312">
        <v>3566</v>
      </c>
      <c r="AI10" s="312">
        <v>3107</v>
      </c>
      <c r="AJ10" s="312">
        <v>2286</v>
      </c>
      <c r="AK10" s="312">
        <v>1311</v>
      </c>
      <c r="AL10" s="313">
        <v>1417</v>
      </c>
      <c r="AM10" s="313">
        <v>2339</v>
      </c>
      <c r="AN10" s="313">
        <v>4500</v>
      </c>
      <c r="AO10" s="313">
        <v>4430</v>
      </c>
      <c r="AP10" s="313">
        <v>6648</v>
      </c>
      <c r="AQ10" s="314">
        <v>7160</v>
      </c>
      <c r="AR10" s="315">
        <v>4842</v>
      </c>
      <c r="AS10" s="315">
        <v>3490</v>
      </c>
      <c r="AT10" s="315">
        <v>3208</v>
      </c>
      <c r="AU10" s="315">
        <v>2760</v>
      </c>
      <c r="AV10" s="315">
        <v>3496</v>
      </c>
      <c r="AW10" s="315">
        <v>1754</v>
      </c>
      <c r="AX10" s="315">
        <v>1386</v>
      </c>
      <c r="AY10" s="315">
        <v>1650</v>
      </c>
      <c r="AZ10" s="315">
        <v>3211</v>
      </c>
      <c r="BA10" s="315">
        <v>4851</v>
      </c>
      <c r="BB10" s="315">
        <v>5239</v>
      </c>
      <c r="BC10" s="315">
        <v>5656</v>
      </c>
      <c r="BD10" s="315">
        <v>6075</v>
      </c>
      <c r="BE10" s="315">
        <v>3832</v>
      </c>
      <c r="BF10" s="315">
        <v>2471</v>
      </c>
      <c r="BG10" s="315">
        <v>2395</v>
      </c>
      <c r="BH10" s="315">
        <v>2164</v>
      </c>
      <c r="BI10" s="315">
        <v>1408</v>
      </c>
      <c r="BJ10" s="315">
        <v>1718</v>
      </c>
      <c r="BK10" s="315">
        <v>1582</v>
      </c>
      <c r="BL10" s="315">
        <v>3858</v>
      </c>
      <c r="BM10" s="315">
        <v>4553</v>
      </c>
      <c r="BN10" s="315">
        <v>5449</v>
      </c>
      <c r="BO10" s="315">
        <v>7010</v>
      </c>
      <c r="BP10" s="316">
        <v>4448</v>
      </c>
      <c r="BQ10" s="306">
        <v>115000</v>
      </c>
    </row>
    <row customHeight="true" ht="13" r="11">
      <c r="A11" s="304"/>
      <c r="L11" s="318" t="s">
        <v>711</v>
      </c>
      <c r="M11">
        <f t="shared" si="6"/>
      </c>
      <c r="N11">
        <f t="shared" si="0"/>
      </c>
      <c r="O11">
        <f t="shared" si="1"/>
      </c>
      <c r="P11">
        <f t="shared" si="2"/>
      </c>
      <c r="Q11" s="310">
        <v>10</v>
      </c>
      <c r="R11" s="311" t="s">
        <v>709</v>
      </c>
      <c r="S11" s="312">
        <v>2297</v>
      </c>
      <c r="T11" s="312">
        <v>2709</v>
      </c>
      <c r="U11" s="312">
        <v>1827</v>
      </c>
      <c r="V11" s="312">
        <v>1405</v>
      </c>
      <c r="W11" s="312">
        <v>1023</v>
      </c>
      <c r="X11" s="312">
        <v>813</v>
      </c>
      <c r="Y11" s="312">
        <v>921</v>
      </c>
      <c r="Z11" s="312">
        <v>907</v>
      </c>
      <c r="AA11" s="312">
        <v>1215</v>
      </c>
      <c r="AB11" s="312">
        <v>1911</v>
      </c>
      <c r="AC11" s="312">
        <v>4049</v>
      </c>
      <c r="AD11" s="312">
        <v>4452</v>
      </c>
      <c r="AE11" s="312">
        <v>4935</v>
      </c>
      <c r="AF11" s="312">
        <v>5848</v>
      </c>
      <c r="AG11" s="312">
        <v>4169</v>
      </c>
      <c r="AH11" s="312">
        <v>3045</v>
      </c>
      <c r="AI11" s="312">
        <v>1749</v>
      </c>
      <c r="AJ11" s="312">
        <v>2130</v>
      </c>
      <c r="AK11" s="312">
        <v>1286</v>
      </c>
      <c r="AL11" s="313">
        <v>1239</v>
      </c>
      <c r="AM11" s="313">
        <v>2225</v>
      </c>
      <c r="AN11" s="313">
        <v>3732</v>
      </c>
      <c r="AO11" s="313">
        <v>4214</v>
      </c>
      <c r="AP11" s="313">
        <v>6382</v>
      </c>
      <c r="AQ11" s="314">
        <v>6856</v>
      </c>
      <c r="AR11" s="315">
        <v>4491</v>
      </c>
      <c r="AS11" s="315">
        <v>3282</v>
      </c>
      <c r="AT11" s="315">
        <v>3155</v>
      </c>
      <c r="AU11" s="315">
        <v>2277</v>
      </c>
      <c r="AV11" s="315">
        <v>3316</v>
      </c>
      <c r="AW11" s="315">
        <v>1707</v>
      </c>
      <c r="AX11" s="315">
        <v>1371</v>
      </c>
      <c r="AY11" s="315">
        <v>1570</v>
      </c>
      <c r="AZ11" s="315">
        <v>3116</v>
      </c>
      <c r="BA11" s="315">
        <v>4552</v>
      </c>
      <c r="BB11" s="315">
        <v>5186</v>
      </c>
      <c r="BC11" s="315">
        <v>5632</v>
      </c>
      <c r="BD11" s="315">
        <v>5836</v>
      </c>
      <c r="BE11" s="315">
        <v>3599</v>
      </c>
      <c r="BF11" s="315">
        <v>2437</v>
      </c>
      <c r="BG11" s="315">
        <v>2271</v>
      </c>
      <c r="BH11" s="315">
        <v>2008</v>
      </c>
      <c r="BI11" s="315">
        <v>1377</v>
      </c>
      <c r="BJ11" s="315">
        <v>1118</v>
      </c>
      <c r="BK11" s="315">
        <v>1377</v>
      </c>
      <c r="BL11" s="315">
        <v>3677</v>
      </c>
      <c r="BM11" s="315">
        <v>4544</v>
      </c>
      <c r="BN11" s="315">
        <v>5285</v>
      </c>
      <c r="BO11" s="315">
        <v>6532</v>
      </c>
      <c r="BP11" s="316">
        <v>4264</v>
      </c>
      <c r="BQ11" s="306">
        <v>108628</v>
      </c>
    </row>
    <row customHeight="true" ht="13" r="12">
      <c r="A12" s="304"/>
      <c r="L12" s="318" t="s">
        <v>712</v>
      </c>
      <c r="M12">
        <f t="shared" si="6"/>
      </c>
      <c r="N12">
        <f t="shared" si="0"/>
      </c>
      <c r="O12">
        <f t="shared" si="1"/>
      </c>
      <c r="P12">
        <f t="shared" si="2"/>
      </c>
      <c r="Q12" s="310">
        <v>11</v>
      </c>
      <c r="R12" s="311" t="s">
        <v>713</v>
      </c>
      <c r="S12" s="312">
        <v>2242</v>
      </c>
      <c r="T12" s="312">
        <v>2707</v>
      </c>
      <c r="U12" s="312">
        <v>1784</v>
      </c>
      <c r="V12" s="312">
        <v>1270</v>
      </c>
      <c r="W12" s="312">
        <v>1017</v>
      </c>
      <c r="X12" s="312">
        <v>769</v>
      </c>
      <c r="Y12" s="312">
        <v>918</v>
      </c>
      <c r="Z12" s="312">
        <v>839</v>
      </c>
      <c r="AA12" s="312">
        <v>1153</v>
      </c>
      <c r="AB12" s="312">
        <v>1907</v>
      </c>
      <c r="AC12" s="312">
        <v>3391</v>
      </c>
      <c r="AD12" s="312">
        <v>4404</v>
      </c>
      <c r="AE12" s="312">
        <v>4232</v>
      </c>
      <c r="AF12" s="312">
        <v>5728</v>
      </c>
      <c r="AG12" s="312">
        <v>2715</v>
      </c>
      <c r="AH12" s="312">
        <v>2626</v>
      </c>
      <c r="AI12" s="312">
        <v>1658</v>
      </c>
      <c r="AJ12" s="312">
        <v>1996</v>
      </c>
      <c r="AK12" s="312">
        <v>1137</v>
      </c>
      <c r="AL12" s="313">
        <v>1073</v>
      </c>
      <c r="AM12" s="313">
        <v>1841</v>
      </c>
      <c r="AN12" s="313">
        <v>3691</v>
      </c>
      <c r="AO12" s="313">
        <v>4035</v>
      </c>
      <c r="AP12" s="313">
        <v>5332</v>
      </c>
      <c r="AQ12" s="314">
        <v>5966</v>
      </c>
      <c r="AR12" s="315">
        <v>4226</v>
      </c>
      <c r="AS12" s="315">
        <v>3256</v>
      </c>
      <c r="AT12" s="315">
        <v>2631</v>
      </c>
      <c r="AU12" s="315">
        <v>2197</v>
      </c>
      <c r="AV12" s="315">
        <v>3127</v>
      </c>
      <c r="AW12" s="315">
        <v>1314</v>
      </c>
      <c r="AX12" s="315">
        <v>1264</v>
      </c>
      <c r="AY12" s="315">
        <v>1507</v>
      </c>
      <c r="AZ12" s="315">
        <v>2751</v>
      </c>
      <c r="BA12" s="315">
        <v>4284</v>
      </c>
      <c r="BB12" s="315">
        <v>5070</v>
      </c>
      <c r="BC12" s="315">
        <v>5631</v>
      </c>
      <c r="BD12" s="315">
        <v>5250</v>
      </c>
      <c r="BE12" s="315">
        <v>2920</v>
      </c>
      <c r="BF12" s="315">
        <v>2281</v>
      </c>
      <c r="BG12" s="315">
        <v>2264</v>
      </c>
      <c r="BH12" s="315">
        <v>1726</v>
      </c>
      <c r="BI12" s="315">
        <v>1354</v>
      </c>
      <c r="BJ12" s="315">
        <v>1028</v>
      </c>
      <c r="BK12" s="315">
        <v>1373</v>
      </c>
      <c r="BL12" s="315">
        <v>3266</v>
      </c>
      <c r="BM12" s="315">
        <v>4355</v>
      </c>
      <c r="BN12" s="315">
        <v>5083</v>
      </c>
      <c r="BO12" s="315">
        <v>5605</v>
      </c>
      <c r="BP12" s="316">
        <v>3901</v>
      </c>
      <c r="BQ12" s="306">
        <v>99602</v>
      </c>
    </row>
    <row customHeight="true" ht="13" r="13">
      <c r="A13" s="304"/>
      <c r="L13" s="318" t="s">
        <v>712</v>
      </c>
      <c r="M13">
        <f t="shared" si="6"/>
      </c>
      <c r="N13">
        <f t="shared" si="0"/>
      </c>
      <c r="O13">
        <f t="shared" si="1"/>
      </c>
      <c r="P13">
        <f t="shared" si="2"/>
      </c>
      <c r="Q13" s="310">
        <v>12</v>
      </c>
      <c r="R13" s="311" t="s">
        <v>713</v>
      </c>
      <c r="S13" s="312">
        <v>2145</v>
      </c>
      <c r="T13" s="312">
        <v>2557</v>
      </c>
      <c r="U13" s="312">
        <v>1761</v>
      </c>
      <c r="V13" s="312">
        <v>1265</v>
      </c>
      <c r="W13" s="312">
        <v>963</v>
      </c>
      <c r="X13" s="312">
        <v>750</v>
      </c>
      <c r="Y13" s="312">
        <v>796</v>
      </c>
      <c r="Z13" s="312">
        <v>688</v>
      </c>
      <c r="AA13" s="312">
        <v>1038</v>
      </c>
      <c r="AB13" s="312">
        <v>1810</v>
      </c>
      <c r="AC13" s="312">
        <v>3357</v>
      </c>
      <c r="AD13" s="312">
        <v>4335</v>
      </c>
      <c r="AE13" s="312">
        <v>3401</v>
      </c>
      <c r="AF13" s="312">
        <v>5444</v>
      </c>
      <c r="AG13" s="312">
        <v>2631</v>
      </c>
      <c r="AH13" s="312">
        <v>2510</v>
      </c>
      <c r="AI13" s="312">
        <v>1595</v>
      </c>
      <c r="AJ13" s="312">
        <v>1935</v>
      </c>
      <c r="AK13" s="312">
        <v>1109</v>
      </c>
      <c r="AL13" s="313">
        <v>1031</v>
      </c>
      <c r="AM13" s="313">
        <v>1787</v>
      </c>
      <c r="AN13" s="313">
        <v>3476</v>
      </c>
      <c r="AO13" s="313">
        <v>3528</v>
      </c>
      <c r="AP13" s="313">
        <v>4839</v>
      </c>
      <c r="AQ13" s="314">
        <v>5187</v>
      </c>
      <c r="AR13" s="315">
        <v>3982</v>
      </c>
      <c r="AS13" s="315">
        <v>3187</v>
      </c>
      <c r="AT13" s="315">
        <v>2624</v>
      </c>
      <c r="AU13" s="315">
        <v>2170</v>
      </c>
      <c r="AV13" s="315">
        <v>2393</v>
      </c>
      <c r="AW13" s="315">
        <v>1242</v>
      </c>
      <c r="AX13" s="315">
        <v>1247</v>
      </c>
      <c r="AY13" s="315">
        <v>1307</v>
      </c>
      <c r="AZ13" s="315">
        <v>2514</v>
      </c>
      <c r="BA13" s="315">
        <v>4274</v>
      </c>
      <c r="BB13" s="315">
        <v>4889</v>
      </c>
      <c r="BC13" s="315">
        <v>4573</v>
      </c>
      <c r="BD13" s="315">
        <v>4597</v>
      </c>
      <c r="BE13" s="315">
        <v>2868</v>
      </c>
      <c r="BF13" s="315">
        <v>2157</v>
      </c>
      <c r="BG13" s="315">
        <v>2253</v>
      </c>
      <c r="BH13" s="315">
        <v>1611</v>
      </c>
      <c r="BI13" s="315">
        <v>1244</v>
      </c>
      <c r="BJ13" s="315">
        <v>962</v>
      </c>
      <c r="BK13" s="315">
        <v>1264</v>
      </c>
      <c r="BL13" s="315">
        <v>3225</v>
      </c>
      <c r="BM13" s="315">
        <v>3910</v>
      </c>
      <c r="BN13" s="315">
        <v>4774</v>
      </c>
      <c r="BO13" s="315">
        <v>5593</v>
      </c>
      <c r="BP13" s="316">
        <v>3891</v>
      </c>
      <c r="BQ13" s="306">
        <v>92599</v>
      </c>
    </row>
    <row customHeight="true" ht="13" r="14">
      <c r="A14" s="304"/>
      <c r="I14" s="319"/>
      <c r="L14" s="318" t="s">
        <v>712</v>
      </c>
      <c r="M14">
        <f t="shared" si="6"/>
      </c>
      <c r="N14">
        <f t="shared" si="0"/>
      </c>
      <c r="O14">
        <f t="shared" si="1"/>
      </c>
      <c r="P14">
        <f t="shared" si="2"/>
      </c>
      <c r="Q14" s="310">
        <v>13</v>
      </c>
      <c r="R14" s="311" t="s">
        <v>713</v>
      </c>
      <c r="S14" s="312">
        <v>2102</v>
      </c>
      <c r="T14" s="312">
        <v>2411</v>
      </c>
      <c r="U14" s="312">
        <v>1731</v>
      </c>
      <c r="V14" s="312">
        <v>1240</v>
      </c>
      <c r="W14" s="312">
        <v>922</v>
      </c>
      <c r="X14" s="312">
        <v>748</v>
      </c>
      <c r="Y14" s="312">
        <v>745</v>
      </c>
      <c r="Z14" s="312">
        <v>688</v>
      </c>
      <c r="AA14" s="312">
        <v>1034</v>
      </c>
      <c r="AB14" s="312">
        <v>1710</v>
      </c>
      <c r="AC14" s="312">
        <v>3297</v>
      </c>
      <c r="AD14" s="312">
        <v>4226</v>
      </c>
      <c r="AE14" s="312">
        <v>3350</v>
      </c>
      <c r="AF14" s="312">
        <v>4528</v>
      </c>
      <c r="AG14" s="312">
        <v>2312</v>
      </c>
      <c r="AH14" s="312">
        <v>2010</v>
      </c>
      <c r="AI14" s="312">
        <v>1514</v>
      </c>
      <c r="AJ14" s="312">
        <v>1854</v>
      </c>
      <c r="AK14" s="312">
        <v>925</v>
      </c>
      <c r="AL14" s="313">
        <v>1006</v>
      </c>
      <c r="AM14" s="313">
        <v>1725</v>
      </c>
      <c r="AN14" s="313">
        <v>3397</v>
      </c>
      <c r="AO14" s="313">
        <v>3343</v>
      </c>
      <c r="AP14" s="313">
        <v>4626</v>
      </c>
      <c r="AQ14" s="314">
        <v>4995</v>
      </c>
      <c r="AR14" s="315">
        <v>3909</v>
      </c>
      <c r="AS14" s="315">
        <v>2353</v>
      </c>
      <c r="AT14" s="315">
        <v>2338</v>
      </c>
      <c r="AU14" s="315">
        <v>2163</v>
      </c>
      <c r="AV14" s="315">
        <v>2219</v>
      </c>
      <c r="AW14" s="315">
        <v>1192</v>
      </c>
      <c r="AX14" s="315">
        <v>1180</v>
      </c>
      <c r="AY14" s="315">
        <v>1232</v>
      </c>
      <c r="AZ14" s="315">
        <v>2317</v>
      </c>
      <c r="BA14" s="315">
        <v>3343</v>
      </c>
      <c r="BB14" s="315">
        <v>4826</v>
      </c>
      <c r="BC14" s="315">
        <v>4518</v>
      </c>
      <c r="BD14" s="315">
        <v>4568</v>
      </c>
      <c r="BE14" s="315">
        <v>2866</v>
      </c>
      <c r="BF14" s="315">
        <v>2137</v>
      </c>
      <c r="BG14" s="315">
        <v>2172</v>
      </c>
      <c r="BH14" s="315">
        <v>1561</v>
      </c>
      <c r="BI14" s="315">
        <v>1089</v>
      </c>
      <c r="BJ14" s="315">
        <v>918</v>
      </c>
      <c r="BK14" s="315">
        <v>1157</v>
      </c>
      <c r="BL14" s="315">
        <v>3070</v>
      </c>
      <c r="BM14" s="315">
        <v>3834</v>
      </c>
      <c r="BN14" s="315">
        <v>4364</v>
      </c>
      <c r="BO14" s="315">
        <v>4870</v>
      </c>
      <c r="BP14" s="316">
        <v>3614</v>
      </c>
      <c r="BQ14" s="306">
        <v>86902</v>
      </c>
    </row>
    <row customHeight="true" ht="13" r="15">
      <c r="A15" s="304"/>
      <c r="G15" s="320"/>
      <c r="H15" s="320"/>
      <c r="I15" s="320"/>
      <c r="L15" s="318" t="s">
        <v>712</v>
      </c>
      <c r="M15">
        <f t="shared" si="6"/>
      </c>
      <c r="N15">
        <f t="shared" si="0"/>
      </c>
      <c r="O15">
        <f t="shared" si="1"/>
      </c>
      <c r="P15">
        <f t="shared" si="2"/>
      </c>
      <c r="Q15" s="310">
        <v>14</v>
      </c>
      <c r="R15" s="311" t="s">
        <v>713</v>
      </c>
      <c r="S15" s="312">
        <v>1911</v>
      </c>
      <c r="T15" s="312">
        <v>2264</v>
      </c>
      <c r="U15" s="312">
        <v>1666</v>
      </c>
      <c r="V15" s="312">
        <v>1027</v>
      </c>
      <c r="W15" s="312">
        <v>872</v>
      </c>
      <c r="X15" s="312">
        <v>738</v>
      </c>
      <c r="Y15" s="312">
        <v>743</v>
      </c>
      <c r="Z15" s="312">
        <v>684</v>
      </c>
      <c r="AA15" s="312">
        <v>1013</v>
      </c>
      <c r="AB15" s="312">
        <v>1667</v>
      </c>
      <c r="AC15" s="312">
        <v>3288</v>
      </c>
      <c r="AD15" s="312">
        <v>4167</v>
      </c>
      <c r="AE15" s="312">
        <v>3239</v>
      </c>
      <c r="AF15" s="312">
        <v>4514</v>
      </c>
      <c r="AG15" s="312">
        <v>2191</v>
      </c>
      <c r="AH15" s="312">
        <v>1694</v>
      </c>
      <c r="AI15" s="312">
        <v>1465</v>
      </c>
      <c r="AJ15" s="312">
        <v>1834</v>
      </c>
      <c r="AK15" s="312">
        <v>924</v>
      </c>
      <c r="AL15" s="313">
        <v>843</v>
      </c>
      <c r="AM15" s="313">
        <v>1700</v>
      </c>
      <c r="AN15" s="313">
        <v>3165</v>
      </c>
      <c r="AO15" s="313">
        <v>3301</v>
      </c>
      <c r="AP15" s="313">
        <v>4449</v>
      </c>
      <c r="AQ15" s="314">
        <v>4284</v>
      </c>
      <c r="AR15" s="315">
        <v>3485</v>
      </c>
      <c r="AS15" s="315">
        <v>2353</v>
      </c>
      <c r="AT15" s="315">
        <v>1862</v>
      </c>
      <c r="AU15" s="315">
        <v>1845</v>
      </c>
      <c r="AV15" s="315">
        <v>1845</v>
      </c>
      <c r="AW15" s="315">
        <v>1164</v>
      </c>
      <c r="AX15" s="315">
        <v>1126</v>
      </c>
      <c r="AY15" s="315">
        <v>1184</v>
      </c>
      <c r="AZ15" s="315">
        <v>2254</v>
      </c>
      <c r="BA15" s="315">
        <v>3308</v>
      </c>
      <c r="BB15" s="315">
        <v>4203</v>
      </c>
      <c r="BC15" s="315">
        <v>4476</v>
      </c>
      <c r="BD15" s="315">
        <v>4556</v>
      </c>
      <c r="BE15" s="315">
        <v>2793</v>
      </c>
      <c r="BF15" s="315">
        <v>2111</v>
      </c>
      <c r="BG15" s="315">
        <v>1940</v>
      </c>
      <c r="BH15" s="315">
        <v>1512</v>
      </c>
      <c r="BI15" s="315">
        <v>1085</v>
      </c>
      <c r="BJ15" s="315">
        <v>906</v>
      </c>
      <c r="BK15" s="315">
        <v>1130</v>
      </c>
      <c r="BL15" s="315">
        <v>2925</v>
      </c>
      <c r="BM15" s="315">
        <v>3696</v>
      </c>
      <c r="BN15" s="315">
        <v>4153</v>
      </c>
      <c r="BO15" s="315">
        <v>4845</v>
      </c>
      <c r="BP15" s="316">
        <v>3448</v>
      </c>
      <c r="BQ15" s="306">
        <v>81947</v>
      </c>
    </row>
    <row customHeight="true" ht="13" r="16">
      <c r="A16" s="304"/>
      <c r="G16" s="320"/>
      <c r="H16" s="320"/>
      <c r="I16" s="320"/>
      <c r="L16" s="318" t="s">
        <v>712</v>
      </c>
      <c r="M16">
        <f t="shared" si="6"/>
      </c>
      <c r="N16">
        <f t="shared" si="0"/>
      </c>
      <c r="O16">
        <f t="shared" si="1"/>
      </c>
      <c r="P16">
        <f t="shared" si="2"/>
      </c>
      <c r="Q16" s="310">
        <v>15</v>
      </c>
      <c r="R16" s="311" t="s">
        <v>713</v>
      </c>
      <c r="S16" s="312">
        <v>1871</v>
      </c>
      <c r="T16" s="312">
        <v>2039</v>
      </c>
      <c r="U16" s="312">
        <v>1550</v>
      </c>
      <c r="V16" s="312">
        <v>980</v>
      </c>
      <c r="W16" s="312">
        <v>847</v>
      </c>
      <c r="X16" s="312">
        <v>737</v>
      </c>
      <c r="Y16" s="312">
        <v>735</v>
      </c>
      <c r="Z16" s="312">
        <v>656</v>
      </c>
      <c r="AA16" s="312">
        <v>1001</v>
      </c>
      <c r="AB16" s="312">
        <v>1662</v>
      </c>
      <c r="AC16" s="312">
        <v>3246</v>
      </c>
      <c r="AD16" s="312">
        <v>4035</v>
      </c>
      <c r="AE16" s="312">
        <v>2863</v>
      </c>
      <c r="AF16" s="312">
        <v>3972</v>
      </c>
      <c r="AG16" s="312">
        <v>2118</v>
      </c>
      <c r="AH16" s="312">
        <v>1619</v>
      </c>
      <c r="AI16" s="312">
        <v>1452</v>
      </c>
      <c r="AJ16" s="312">
        <v>1570</v>
      </c>
      <c r="AK16" s="312">
        <v>861</v>
      </c>
      <c r="AL16" s="313">
        <v>818</v>
      </c>
      <c r="AM16" s="313">
        <v>1270</v>
      </c>
      <c r="AN16" s="313">
        <v>2586</v>
      </c>
      <c r="AO16" s="313">
        <v>3235</v>
      </c>
      <c r="AP16" s="313">
        <v>4302</v>
      </c>
      <c r="AQ16" s="314">
        <v>4223</v>
      </c>
      <c r="AR16" s="315">
        <v>3469</v>
      </c>
      <c r="AS16" s="315">
        <v>2316</v>
      </c>
      <c r="AT16" s="315">
        <v>1834</v>
      </c>
      <c r="AU16" s="315">
        <v>1825</v>
      </c>
      <c r="AV16" s="315">
        <v>1681</v>
      </c>
      <c r="AW16" s="315">
        <v>1121</v>
      </c>
      <c r="AX16" s="315">
        <v>1124</v>
      </c>
      <c r="AY16" s="315">
        <v>1150</v>
      </c>
      <c r="AZ16" s="315">
        <v>2132</v>
      </c>
      <c r="BA16" s="315">
        <v>3067</v>
      </c>
      <c r="BB16" s="315">
        <v>4150</v>
      </c>
      <c r="BC16" s="315">
        <v>4190</v>
      </c>
      <c r="BD16" s="315">
        <v>3687</v>
      </c>
      <c r="BE16" s="315">
        <v>2512</v>
      </c>
      <c r="BF16" s="315">
        <v>1984</v>
      </c>
      <c r="BG16" s="315">
        <v>1590</v>
      </c>
      <c r="BH16" s="315">
        <v>1491</v>
      </c>
      <c r="BI16" s="315">
        <v>1071</v>
      </c>
      <c r="BJ16" s="315">
        <v>905</v>
      </c>
      <c r="BK16" s="315">
        <v>1066</v>
      </c>
      <c r="BL16" s="315">
        <v>2906</v>
      </c>
      <c r="BM16" s="315">
        <v>3420</v>
      </c>
      <c r="BN16" s="315">
        <v>3682</v>
      </c>
      <c r="BO16" s="315">
        <v>4627</v>
      </c>
      <c r="BP16" s="316">
        <v>3366</v>
      </c>
      <c r="BQ16" s="306">
        <v>76800</v>
      </c>
    </row>
    <row customHeight="true" ht="13" r="17">
      <c r="A17" s="304"/>
      <c r="G17" s="320"/>
      <c r="H17" s="320"/>
      <c r="I17" s="320"/>
      <c r="L17" s="321" t="s">
        <v>714</v>
      </c>
      <c r="M17">
        <f t="shared" si="6"/>
      </c>
      <c r="N17">
        <f t="shared" si="0"/>
      </c>
      <c r="O17">
        <f t="shared" si="1"/>
      </c>
      <c r="P17">
        <f t="shared" si="2"/>
      </c>
      <c r="Q17" s="310">
        <v>16</v>
      </c>
      <c r="R17" s="311" t="s">
        <v>713</v>
      </c>
      <c r="S17" s="312">
        <v>1796</v>
      </c>
      <c r="T17" s="312">
        <v>2038</v>
      </c>
      <c r="U17" s="312">
        <v>1462</v>
      </c>
      <c r="V17" s="312">
        <v>979</v>
      </c>
      <c r="W17" s="312">
        <v>742</v>
      </c>
      <c r="X17" s="312">
        <v>695</v>
      </c>
      <c r="Y17" s="312">
        <v>735</v>
      </c>
      <c r="Z17" s="312">
        <v>656</v>
      </c>
      <c r="AA17" s="312">
        <v>1001</v>
      </c>
      <c r="AB17" s="312">
        <v>1612</v>
      </c>
      <c r="AC17" s="312">
        <v>3155</v>
      </c>
      <c r="AD17" s="312">
        <v>3929</v>
      </c>
      <c r="AE17" s="312">
        <v>2780</v>
      </c>
      <c r="AF17" s="312">
        <v>3482</v>
      </c>
      <c r="AG17" s="312">
        <v>2057</v>
      </c>
      <c r="AH17" s="312">
        <v>1500</v>
      </c>
      <c r="AI17" s="312">
        <v>1375</v>
      </c>
      <c r="AJ17" s="312">
        <v>1441</v>
      </c>
      <c r="AK17" s="312">
        <v>828</v>
      </c>
      <c r="AL17" s="313">
        <v>801</v>
      </c>
      <c r="AM17" s="313">
        <v>1115</v>
      </c>
      <c r="AN17" s="313">
        <v>2532</v>
      </c>
      <c r="AO17" s="313">
        <v>3172</v>
      </c>
      <c r="AP17" s="313">
        <v>3633</v>
      </c>
      <c r="AQ17" s="314">
        <v>3806</v>
      </c>
      <c r="AR17" s="315">
        <v>3382</v>
      </c>
      <c r="AS17" s="315">
        <v>2274</v>
      </c>
      <c r="AT17" s="315">
        <v>1834</v>
      </c>
      <c r="AU17" s="315">
        <v>1790</v>
      </c>
      <c r="AV17" s="315">
        <v>1665</v>
      </c>
      <c r="AW17" s="315">
        <v>1011</v>
      </c>
      <c r="AX17" s="315">
        <v>1056</v>
      </c>
      <c r="AY17" s="315">
        <v>1102</v>
      </c>
      <c r="AZ17" s="315">
        <v>2119</v>
      </c>
      <c r="BA17" s="315">
        <v>3065</v>
      </c>
      <c r="BB17" s="315">
        <v>4067</v>
      </c>
      <c r="BC17" s="315">
        <v>4115</v>
      </c>
      <c r="BD17" s="315">
        <v>3513</v>
      </c>
      <c r="BE17" s="315">
        <v>2405</v>
      </c>
      <c r="BF17" s="315">
        <v>1899</v>
      </c>
      <c r="BG17" s="315">
        <v>1512</v>
      </c>
      <c r="BH17" s="315">
        <v>1432</v>
      </c>
      <c r="BI17" s="315">
        <v>1001</v>
      </c>
      <c r="BJ17" s="315">
        <v>876</v>
      </c>
      <c r="BK17" s="315">
        <v>1054</v>
      </c>
      <c r="BL17" s="315">
        <v>2862</v>
      </c>
      <c r="BM17" s="315">
        <v>3389</v>
      </c>
      <c r="BN17" s="315">
        <v>3491</v>
      </c>
      <c r="BO17" s="315">
        <v>4494</v>
      </c>
      <c r="BP17" s="316">
        <v>3356</v>
      </c>
      <c r="BQ17" s="306">
        <v>73823</v>
      </c>
    </row>
    <row customHeight="true" ht="13" r="18">
      <c r="A18" s="304"/>
      <c r="G18" s="320"/>
      <c r="H18" s="320"/>
      <c r="I18" s="320"/>
      <c r="L18" s="321" t="s">
        <v>714</v>
      </c>
      <c r="M18">
        <f t="shared" si="6"/>
      </c>
      <c r="N18">
        <f t="shared" si="0"/>
      </c>
      <c r="O18">
        <f t="shared" si="1"/>
      </c>
      <c r="P18">
        <f t="shared" si="2"/>
      </c>
      <c r="Q18" s="310">
        <v>17</v>
      </c>
      <c r="R18" s="311" t="s">
        <v>713</v>
      </c>
      <c r="S18" s="312">
        <v>1350</v>
      </c>
      <c r="T18" s="312">
        <v>1985</v>
      </c>
      <c r="U18" s="312">
        <v>1364</v>
      </c>
      <c r="V18" s="312">
        <v>952</v>
      </c>
      <c r="W18" s="312">
        <v>699</v>
      </c>
      <c r="X18" s="312">
        <v>691</v>
      </c>
      <c r="Y18" s="312">
        <v>572</v>
      </c>
      <c r="Z18" s="312">
        <v>638</v>
      </c>
      <c r="AA18" s="312">
        <v>996</v>
      </c>
      <c r="AB18" s="312">
        <v>1584</v>
      </c>
      <c r="AC18" s="312">
        <v>3087</v>
      </c>
      <c r="AD18" s="312">
        <v>3532</v>
      </c>
      <c r="AE18" s="312">
        <v>2512</v>
      </c>
      <c r="AF18" s="312">
        <v>2906</v>
      </c>
      <c r="AG18" s="312">
        <v>1864</v>
      </c>
      <c r="AH18" s="312">
        <v>1471</v>
      </c>
      <c r="AI18" s="312">
        <v>1362</v>
      </c>
      <c r="AJ18" s="312">
        <v>1378</v>
      </c>
      <c r="AK18" s="312">
        <v>822</v>
      </c>
      <c r="AL18" s="313">
        <v>784</v>
      </c>
      <c r="AM18" s="313">
        <v>1097</v>
      </c>
      <c r="AN18" s="313">
        <v>2222</v>
      </c>
      <c r="AO18" s="313">
        <v>3053</v>
      </c>
      <c r="AP18" s="313">
        <v>3587</v>
      </c>
      <c r="AQ18" s="314">
        <v>3718</v>
      </c>
      <c r="AR18" s="315">
        <v>3346</v>
      </c>
      <c r="AS18" s="315">
        <v>2162</v>
      </c>
      <c r="AT18" s="315">
        <v>1797</v>
      </c>
      <c r="AU18" s="315">
        <v>1506</v>
      </c>
      <c r="AV18" s="315">
        <v>1572</v>
      </c>
      <c r="AW18" s="315">
        <v>923</v>
      </c>
      <c r="AX18" s="315">
        <v>1041</v>
      </c>
      <c r="AY18" s="315">
        <v>1025</v>
      </c>
      <c r="AZ18" s="315">
        <v>2067</v>
      </c>
      <c r="BA18" s="315">
        <v>2919</v>
      </c>
      <c r="BB18" s="315">
        <v>3764</v>
      </c>
      <c r="BC18" s="315">
        <v>3808</v>
      </c>
      <c r="BD18" s="315">
        <v>3215</v>
      </c>
      <c r="BE18" s="315">
        <v>2356</v>
      </c>
      <c r="BF18" s="315">
        <v>1870</v>
      </c>
      <c r="BG18" s="315">
        <v>1477</v>
      </c>
      <c r="BH18" s="315">
        <v>1355</v>
      </c>
      <c r="BI18" s="315">
        <v>975</v>
      </c>
      <c r="BJ18" s="315">
        <v>868</v>
      </c>
      <c r="BK18" s="315">
        <v>1047</v>
      </c>
      <c r="BL18" s="315">
        <v>2842</v>
      </c>
      <c r="BM18" s="315">
        <v>3224</v>
      </c>
      <c r="BN18" s="315">
        <v>3399</v>
      </c>
      <c r="BO18" s="315">
        <v>4089</v>
      </c>
      <c r="BP18" s="316">
        <v>3303</v>
      </c>
      <c r="BQ18" s="306">
        <v>70411</v>
      </c>
    </row>
    <row customHeight="true" ht="13" r="19">
      <c r="A19" s="304"/>
      <c r="G19" s="320"/>
      <c r="H19" s="320"/>
      <c r="I19" s="320"/>
      <c r="L19" s="321" t="s">
        <v>714</v>
      </c>
      <c r="M19">
        <f t="shared" si="6"/>
      </c>
      <c r="N19">
        <f t="shared" si="0"/>
      </c>
      <c r="O19">
        <f t="shared" si="1"/>
      </c>
      <c r="P19">
        <f t="shared" si="2"/>
      </c>
      <c r="Q19" s="310">
        <v>18</v>
      </c>
      <c r="R19" s="311" t="s">
        <v>713</v>
      </c>
      <c r="S19" s="312">
        <v>1230</v>
      </c>
      <c r="T19" s="312">
        <v>1916</v>
      </c>
      <c r="U19" s="312">
        <v>1306</v>
      </c>
      <c r="V19" s="312">
        <v>946</v>
      </c>
      <c r="W19" s="312">
        <v>633</v>
      </c>
      <c r="X19" s="312">
        <v>652</v>
      </c>
      <c r="Y19" s="312">
        <v>564</v>
      </c>
      <c r="Z19" s="312">
        <v>636</v>
      </c>
      <c r="AA19" s="312">
        <v>980</v>
      </c>
      <c r="AB19" s="312">
        <v>1575</v>
      </c>
      <c r="AC19" s="312">
        <v>2946</v>
      </c>
      <c r="AD19" s="312">
        <v>3516</v>
      </c>
      <c r="AE19" s="312">
        <v>2466</v>
      </c>
      <c r="AF19" s="312">
        <v>2858</v>
      </c>
      <c r="AG19" s="312">
        <v>1854</v>
      </c>
      <c r="AH19" s="312">
        <v>1438</v>
      </c>
      <c r="AI19" s="312">
        <v>1345</v>
      </c>
      <c r="AJ19" s="312">
        <v>1278</v>
      </c>
      <c r="AK19" s="312">
        <v>795</v>
      </c>
      <c r="AL19" s="313">
        <v>750</v>
      </c>
      <c r="AM19" s="313">
        <v>989</v>
      </c>
      <c r="AN19" s="313">
        <v>2051</v>
      </c>
      <c r="AO19" s="313">
        <v>2539</v>
      </c>
      <c r="AP19" s="313">
        <v>3438</v>
      </c>
      <c r="AQ19" s="314">
        <v>3565</v>
      </c>
      <c r="AR19" s="315">
        <v>3316</v>
      </c>
      <c r="AS19" s="315">
        <v>2160</v>
      </c>
      <c r="AT19" s="315">
        <v>1527</v>
      </c>
      <c r="AU19" s="315">
        <v>1483</v>
      </c>
      <c r="AV19" s="315">
        <v>1562</v>
      </c>
      <c r="AW19" s="315">
        <v>886</v>
      </c>
      <c r="AX19" s="315">
        <v>868</v>
      </c>
      <c r="AY19" s="315">
        <v>982</v>
      </c>
      <c r="AZ19" s="315">
        <v>1979</v>
      </c>
      <c r="BA19" s="315">
        <v>2820</v>
      </c>
      <c r="BB19" s="315">
        <v>3408</v>
      </c>
      <c r="BC19" s="315">
        <v>3732</v>
      </c>
      <c r="BD19" s="315">
        <v>3109</v>
      </c>
      <c r="BE19" s="315">
        <v>2202</v>
      </c>
      <c r="BF19" s="315">
        <v>1680</v>
      </c>
      <c r="BG19" s="315">
        <v>1374</v>
      </c>
      <c r="BH19" s="315">
        <v>1290</v>
      </c>
      <c r="BI19" s="315">
        <v>930</v>
      </c>
      <c r="BJ19" s="315">
        <v>805</v>
      </c>
      <c r="BK19" s="315">
        <v>1035</v>
      </c>
      <c r="BL19" s="315">
        <v>2814</v>
      </c>
      <c r="BM19" s="315">
        <v>2679</v>
      </c>
      <c r="BN19" s="315">
        <v>3290</v>
      </c>
      <c r="BO19" s="315">
        <v>3966</v>
      </c>
      <c r="BP19" s="316">
        <v>3107</v>
      </c>
      <c r="BQ19" s="306">
        <v>66336</v>
      </c>
    </row>
    <row customHeight="true" ht="13" r="20">
      <c r="A20" s="304"/>
      <c r="G20" s="320"/>
      <c r="H20" s="320"/>
      <c r="I20" s="320"/>
      <c r="L20" s="321" t="s">
        <v>714</v>
      </c>
      <c r="M20">
        <f t="shared" si="6"/>
      </c>
      <c r="N20">
        <f t="shared" si="0"/>
      </c>
      <c r="O20">
        <f t="shared" si="1"/>
      </c>
      <c r="P20">
        <f t="shared" si="2"/>
      </c>
      <c r="Q20" s="310">
        <v>19</v>
      </c>
      <c r="R20" s="311" t="s">
        <v>713</v>
      </c>
      <c r="S20" s="312">
        <v>1223</v>
      </c>
      <c r="T20" s="312">
        <v>1756</v>
      </c>
      <c r="U20" s="312">
        <v>1303</v>
      </c>
      <c r="V20" s="312">
        <v>899</v>
      </c>
      <c r="W20" s="312">
        <v>626</v>
      </c>
      <c r="X20" s="312">
        <v>638</v>
      </c>
      <c r="Y20" s="312">
        <v>532</v>
      </c>
      <c r="Z20" s="312">
        <v>614</v>
      </c>
      <c r="AA20" s="312">
        <v>974</v>
      </c>
      <c r="AB20" s="312">
        <v>1571</v>
      </c>
      <c r="AC20" s="312">
        <v>2795</v>
      </c>
      <c r="AD20" s="312">
        <v>3363</v>
      </c>
      <c r="AE20" s="312">
        <v>2419</v>
      </c>
      <c r="AF20" s="312">
        <v>2855</v>
      </c>
      <c r="AG20" s="312">
        <v>1692</v>
      </c>
      <c r="AH20" s="312">
        <v>1418</v>
      </c>
      <c r="AI20" s="312">
        <v>1235</v>
      </c>
      <c r="AJ20" s="312">
        <v>1233</v>
      </c>
      <c r="AK20" s="312">
        <v>777</v>
      </c>
      <c r="AL20" s="313">
        <v>715</v>
      </c>
      <c r="AM20" s="313">
        <v>914</v>
      </c>
      <c r="AN20" s="313">
        <v>1856</v>
      </c>
      <c r="AO20" s="313">
        <v>2479</v>
      </c>
      <c r="AP20" s="313">
        <v>3326</v>
      </c>
      <c r="AQ20" s="314">
        <v>3482</v>
      </c>
      <c r="AR20" s="315">
        <v>2883</v>
      </c>
      <c r="AS20" s="315">
        <v>2059</v>
      </c>
      <c r="AT20" s="315">
        <v>1523</v>
      </c>
      <c r="AU20" s="315">
        <v>1454</v>
      </c>
      <c r="AV20" s="315">
        <v>1477</v>
      </c>
      <c r="AW20" s="315">
        <v>879</v>
      </c>
      <c r="AX20" s="315">
        <v>811</v>
      </c>
      <c r="AY20" s="315">
        <v>893</v>
      </c>
      <c r="AZ20" s="315">
        <v>1978</v>
      </c>
      <c r="BA20" s="315">
        <v>2682</v>
      </c>
      <c r="BB20" s="315">
        <v>3323</v>
      </c>
      <c r="BC20" s="315">
        <v>3579</v>
      </c>
      <c r="BD20" s="315">
        <v>3058</v>
      </c>
      <c r="BE20" s="315">
        <v>2190</v>
      </c>
      <c r="BF20" s="315">
        <v>1577</v>
      </c>
      <c r="BG20" s="315">
        <v>1373</v>
      </c>
      <c r="BH20" s="315">
        <v>1266</v>
      </c>
      <c r="BI20" s="315">
        <v>912</v>
      </c>
      <c r="BJ20" s="315">
        <v>800</v>
      </c>
      <c r="BK20" s="315">
        <v>974</v>
      </c>
      <c r="BL20" s="315">
        <v>2769</v>
      </c>
      <c r="BM20" s="315">
        <v>2362</v>
      </c>
      <c r="BN20" s="315">
        <v>3189</v>
      </c>
      <c r="BO20" s="315">
        <v>3905</v>
      </c>
      <c r="BP20" s="316">
        <v>3067</v>
      </c>
      <c r="BQ20" s="306">
        <v>63755</v>
      </c>
    </row>
    <row customHeight="true" ht="13" r="21">
      <c r="A21" s="304"/>
      <c r="G21" s="320"/>
      <c r="H21" s="320"/>
      <c r="I21" s="320"/>
      <c r="L21" s="321" t="s">
        <v>714</v>
      </c>
      <c r="M21">
        <f t="shared" si="6"/>
      </c>
      <c r="N21">
        <f t="shared" si="0"/>
      </c>
      <c r="O21">
        <f t="shared" si="1"/>
      </c>
      <c r="P21">
        <f t="shared" si="2"/>
      </c>
      <c r="Q21" s="310">
        <v>20</v>
      </c>
      <c r="R21" s="311" t="s">
        <v>713</v>
      </c>
      <c r="S21" s="312">
        <v>1105</v>
      </c>
      <c r="T21" s="312">
        <v>1749</v>
      </c>
      <c r="U21" s="312">
        <v>1301</v>
      </c>
      <c r="V21" s="312">
        <v>893</v>
      </c>
      <c r="W21" s="312">
        <v>623</v>
      </c>
      <c r="X21" s="312">
        <v>608</v>
      </c>
      <c r="Y21" s="312">
        <v>522</v>
      </c>
      <c r="Z21" s="312">
        <v>607</v>
      </c>
      <c r="AA21" s="312">
        <v>937</v>
      </c>
      <c r="AB21" s="312">
        <v>1449</v>
      </c>
      <c r="AC21" s="312">
        <v>2761</v>
      </c>
      <c r="AD21" s="312">
        <v>3326</v>
      </c>
      <c r="AE21" s="312">
        <v>2407</v>
      </c>
      <c r="AF21" s="312">
        <v>2806</v>
      </c>
      <c r="AG21" s="312">
        <v>1626</v>
      </c>
      <c r="AH21" s="312">
        <v>1341</v>
      </c>
      <c r="AI21" s="312">
        <v>1223</v>
      </c>
      <c r="AJ21" s="312">
        <v>1208</v>
      </c>
      <c r="AK21" s="312">
        <v>768</v>
      </c>
      <c r="AL21" s="313">
        <v>711</v>
      </c>
      <c r="AM21" s="313">
        <v>908</v>
      </c>
      <c r="AN21" s="313">
        <v>1832</v>
      </c>
      <c r="AO21" s="313">
        <v>2453</v>
      </c>
      <c r="AP21" s="313">
        <v>3221</v>
      </c>
      <c r="AQ21" s="314">
        <v>3468</v>
      </c>
      <c r="AR21" s="315">
        <v>2771</v>
      </c>
      <c r="AS21" s="315">
        <v>2022</v>
      </c>
      <c r="AT21" s="315">
        <v>1521</v>
      </c>
      <c r="AU21" s="315">
        <v>1437</v>
      </c>
      <c r="AV21" s="315">
        <v>1304</v>
      </c>
      <c r="AW21" s="315">
        <v>860</v>
      </c>
      <c r="AX21" s="315">
        <v>797</v>
      </c>
      <c r="AY21" s="315">
        <v>876</v>
      </c>
      <c r="AZ21" s="315">
        <v>1829</v>
      </c>
      <c r="BA21" s="315">
        <v>2585</v>
      </c>
      <c r="BB21" s="315">
        <v>3303</v>
      </c>
      <c r="BC21" s="315">
        <v>3230</v>
      </c>
      <c r="BD21" s="315">
        <v>2904</v>
      </c>
      <c r="BE21" s="315">
        <v>2118</v>
      </c>
      <c r="BF21" s="315">
        <v>1449</v>
      </c>
      <c r="BG21" s="315">
        <v>1232</v>
      </c>
      <c r="BH21" s="315">
        <v>1198</v>
      </c>
      <c r="BI21" s="315">
        <v>807</v>
      </c>
      <c r="BJ21" s="315">
        <v>786</v>
      </c>
      <c r="BK21" s="315">
        <v>970</v>
      </c>
      <c r="BL21" s="315">
        <v>2533</v>
      </c>
      <c r="BM21" s="315">
        <v>2301</v>
      </c>
      <c r="BN21" s="315">
        <v>2963</v>
      </c>
      <c r="BO21" s="315">
        <v>3797</v>
      </c>
      <c r="BP21" s="316">
        <v>2925</v>
      </c>
      <c r="BQ21" s="306">
        <v>61111</v>
      </c>
    </row>
    <row customHeight="true" ht="13" r="22">
      <c r="A22" s="304"/>
      <c r="M22">
        <f t="shared" si="6"/>
      </c>
      <c r="N22">
        <f t="shared" si="0"/>
      </c>
      <c r="O22">
        <f t="shared" si="1"/>
      </c>
      <c r="P22">
        <f t="shared" si="2"/>
      </c>
      <c r="Q22" s="310">
        <v>21</v>
      </c>
      <c r="R22" s="310" t="s">
        <v>715</v>
      </c>
      <c r="S22" s="312">
        <v>1054</v>
      </c>
      <c r="T22" s="312">
        <v>1680</v>
      </c>
      <c r="U22" s="312">
        <v>1214</v>
      </c>
      <c r="V22" s="312">
        <v>848</v>
      </c>
      <c r="W22" s="312">
        <v>622</v>
      </c>
      <c r="X22" s="312">
        <v>608</v>
      </c>
      <c r="Y22" s="312">
        <v>461</v>
      </c>
      <c r="Z22" s="312">
        <v>570</v>
      </c>
      <c r="AA22" s="312">
        <v>814</v>
      </c>
      <c r="AB22" s="312">
        <v>1362</v>
      </c>
      <c r="AC22" s="312">
        <v>2722</v>
      </c>
      <c r="AD22" s="312">
        <v>3313</v>
      </c>
      <c r="AE22" s="312">
        <v>2363</v>
      </c>
      <c r="AF22" s="312">
        <v>2712</v>
      </c>
      <c r="AG22" s="312">
        <v>1615</v>
      </c>
      <c r="AH22" s="312">
        <v>1313</v>
      </c>
      <c r="AI22" s="312">
        <v>1146</v>
      </c>
      <c r="AJ22" s="312">
        <v>1030</v>
      </c>
      <c r="AK22" s="312">
        <v>718</v>
      </c>
      <c r="AL22" s="313">
        <v>689</v>
      </c>
      <c r="AM22" s="313">
        <v>904</v>
      </c>
      <c r="AN22" s="313">
        <v>1694</v>
      </c>
      <c r="AO22" s="313">
        <v>2438</v>
      </c>
      <c r="AP22" s="313">
        <v>3155</v>
      </c>
      <c r="AQ22" s="314">
        <v>3105</v>
      </c>
      <c r="AR22" s="315">
        <v>2754</v>
      </c>
      <c r="AS22" s="315">
        <v>1928</v>
      </c>
      <c r="AT22" s="315">
        <v>1431</v>
      </c>
      <c r="AU22" s="315">
        <v>1399</v>
      </c>
      <c r="AV22" s="315">
        <v>1272</v>
      </c>
      <c r="AW22" s="315">
        <v>818</v>
      </c>
      <c r="AX22" s="315">
        <v>731</v>
      </c>
      <c r="AY22" s="315">
        <v>867</v>
      </c>
      <c r="AZ22" s="315">
        <v>1795</v>
      </c>
      <c r="BA22" s="315">
        <v>2441</v>
      </c>
      <c r="BB22" s="315">
        <v>3283</v>
      </c>
      <c r="BC22" s="315">
        <v>3144</v>
      </c>
      <c r="BD22" s="315">
        <v>2899</v>
      </c>
      <c r="BE22" s="315">
        <v>1955</v>
      </c>
      <c r="BF22" s="315">
        <v>1449</v>
      </c>
      <c r="BG22" s="315">
        <v>1215</v>
      </c>
      <c r="BH22" s="315">
        <v>1157</v>
      </c>
      <c r="BI22" s="315">
        <v>781</v>
      </c>
      <c r="BJ22" s="315">
        <v>785</v>
      </c>
      <c r="BK22" s="315">
        <v>840</v>
      </c>
      <c r="BL22" s="315">
        <v>2316</v>
      </c>
      <c r="BM22" s="315">
        <v>2274</v>
      </c>
      <c r="BN22" s="315">
        <v>2906</v>
      </c>
      <c r="BO22" s="315">
        <v>3795</v>
      </c>
      <c r="BP22" s="316">
        <v>2702</v>
      </c>
      <c r="BQ22" s="306">
        <v>58922</v>
      </c>
    </row>
    <row customHeight="true" ht="13" r="23">
      <c r="A23" s="304"/>
      <c r="M23">
        <f t="shared" si="6"/>
      </c>
      <c r="N23">
        <f t="shared" si="0"/>
      </c>
      <c r="O23">
        <f t="shared" si="1"/>
      </c>
      <c r="P23">
        <f t="shared" si="2"/>
      </c>
      <c r="Q23" s="310">
        <v>22</v>
      </c>
      <c r="R23" s="310" t="s">
        <v>715</v>
      </c>
      <c r="S23" s="312">
        <v>981</v>
      </c>
      <c r="T23" s="312">
        <v>1616</v>
      </c>
      <c r="U23" s="312">
        <v>1082</v>
      </c>
      <c r="V23" s="312">
        <v>826</v>
      </c>
      <c r="W23" s="312">
        <v>604</v>
      </c>
      <c r="X23" s="312">
        <v>606</v>
      </c>
      <c r="Y23" s="312">
        <v>461</v>
      </c>
      <c r="Z23" s="312">
        <v>558</v>
      </c>
      <c r="AA23" s="312">
        <v>775</v>
      </c>
      <c r="AB23" s="312">
        <v>1320</v>
      </c>
      <c r="AC23" s="312">
        <v>2638</v>
      </c>
      <c r="AD23" s="312">
        <v>3161</v>
      </c>
      <c r="AE23" s="312">
        <v>2355</v>
      </c>
      <c r="AF23" s="312">
        <v>2685</v>
      </c>
      <c r="AG23" s="312">
        <v>1555</v>
      </c>
      <c r="AH23" s="312">
        <v>1274</v>
      </c>
      <c r="AI23" s="312">
        <v>1104</v>
      </c>
      <c r="AJ23" s="312">
        <v>989</v>
      </c>
      <c r="AK23" s="312">
        <v>705</v>
      </c>
      <c r="AL23" s="313">
        <v>672</v>
      </c>
      <c r="AM23" s="313">
        <v>902</v>
      </c>
      <c r="AN23" s="313">
        <v>1600</v>
      </c>
      <c r="AO23" s="313">
        <v>2431</v>
      </c>
      <c r="AP23" s="313">
        <v>3151</v>
      </c>
      <c r="AQ23" s="314">
        <v>3019</v>
      </c>
      <c r="AR23" s="315">
        <v>2662</v>
      </c>
      <c r="AS23" s="315">
        <v>1647</v>
      </c>
      <c r="AT23" s="315">
        <v>1392</v>
      </c>
      <c r="AU23" s="315">
        <v>1382</v>
      </c>
      <c r="AV23" s="315">
        <v>1201</v>
      </c>
      <c r="AW23" s="315">
        <v>776</v>
      </c>
      <c r="AX23" s="315">
        <v>700</v>
      </c>
      <c r="AY23" s="315">
        <v>865</v>
      </c>
      <c r="AZ23" s="315">
        <v>1736</v>
      </c>
      <c r="BA23" s="315">
        <v>2391</v>
      </c>
      <c r="BB23" s="315">
        <v>3225</v>
      </c>
      <c r="BC23" s="315">
        <v>3112</v>
      </c>
      <c r="BD23" s="315">
        <v>2894</v>
      </c>
      <c r="BE23" s="315">
        <v>1870</v>
      </c>
      <c r="BF23" s="315">
        <v>1386</v>
      </c>
      <c r="BG23" s="315">
        <v>1206</v>
      </c>
      <c r="BH23" s="315">
        <v>1080</v>
      </c>
      <c r="BI23" s="315">
        <v>746</v>
      </c>
      <c r="BJ23" s="315">
        <v>759</v>
      </c>
      <c r="BK23" s="315">
        <v>834</v>
      </c>
      <c r="BL23" s="315">
        <v>2311</v>
      </c>
      <c r="BM23" s="315">
        <v>2218</v>
      </c>
      <c r="BN23" s="315">
        <v>2886</v>
      </c>
      <c r="BO23" s="315">
        <v>3737</v>
      </c>
      <c r="BP23" s="316">
        <v>2607</v>
      </c>
      <c r="BQ23" s="306">
        <v>57398</v>
      </c>
    </row>
    <row customHeight="true" ht="13" r="24">
      <c r="A24" s="304"/>
      <c r="M24">
        <f t="shared" si="6"/>
      </c>
      <c r="N24">
        <f t="shared" si="0"/>
      </c>
      <c r="O24">
        <f t="shared" si="1"/>
      </c>
      <c r="P24">
        <f t="shared" si="2"/>
      </c>
      <c r="Q24" s="310">
        <v>23</v>
      </c>
      <c r="R24" s="310" t="s">
        <v>715</v>
      </c>
      <c r="S24" s="312">
        <v>934</v>
      </c>
      <c r="T24" s="312">
        <v>1593</v>
      </c>
      <c r="U24" s="312">
        <v>1080</v>
      </c>
      <c r="V24" s="312">
        <v>822</v>
      </c>
      <c r="W24" s="312">
        <v>591</v>
      </c>
      <c r="X24" s="312">
        <v>595</v>
      </c>
      <c r="Y24" s="312">
        <v>456</v>
      </c>
      <c r="Z24" s="312">
        <v>536</v>
      </c>
      <c r="AA24" s="312">
        <v>774</v>
      </c>
      <c r="AB24" s="312">
        <v>1279</v>
      </c>
      <c r="AC24" s="312">
        <v>2624</v>
      </c>
      <c r="AD24" s="312">
        <v>2958</v>
      </c>
      <c r="AE24" s="312">
        <v>2270</v>
      </c>
      <c r="AF24" s="312">
        <v>2526</v>
      </c>
      <c r="AG24" s="312">
        <v>1503</v>
      </c>
      <c r="AH24" s="312">
        <v>1263</v>
      </c>
      <c r="AI24" s="312">
        <v>1092</v>
      </c>
      <c r="AJ24" s="312">
        <v>960</v>
      </c>
      <c r="AK24" s="312">
        <v>702</v>
      </c>
      <c r="AL24" s="313">
        <v>668</v>
      </c>
      <c r="AM24" s="313">
        <v>873</v>
      </c>
      <c r="AN24" s="313">
        <v>1582</v>
      </c>
      <c r="AO24" s="313">
        <v>2363</v>
      </c>
      <c r="AP24" s="313">
        <v>3076</v>
      </c>
      <c r="AQ24" s="314">
        <v>3004</v>
      </c>
      <c r="AR24" s="315">
        <v>2635</v>
      </c>
      <c r="AS24" s="315">
        <v>1635</v>
      </c>
      <c r="AT24" s="315">
        <v>1362</v>
      </c>
      <c r="AU24" s="315">
        <v>1333</v>
      </c>
      <c r="AV24" s="315">
        <v>1197</v>
      </c>
      <c r="AW24" s="315">
        <v>753</v>
      </c>
      <c r="AX24" s="315">
        <v>684</v>
      </c>
      <c r="AY24" s="315">
        <v>848</v>
      </c>
      <c r="AZ24" s="315">
        <v>1718</v>
      </c>
      <c r="BA24" s="315">
        <v>2390</v>
      </c>
      <c r="BB24" s="315">
        <v>3198</v>
      </c>
      <c r="BC24" s="315">
        <v>2815</v>
      </c>
      <c r="BD24" s="315">
        <v>2874</v>
      </c>
      <c r="BE24" s="315">
        <v>1808</v>
      </c>
      <c r="BF24" s="315">
        <v>1346</v>
      </c>
      <c r="BG24" s="315">
        <v>1192</v>
      </c>
      <c r="BH24" s="315">
        <v>1051</v>
      </c>
      <c r="BI24" s="315">
        <v>744</v>
      </c>
      <c r="BJ24" s="315">
        <v>675</v>
      </c>
      <c r="BK24" s="315">
        <v>827</v>
      </c>
      <c r="BL24" s="315">
        <v>2128</v>
      </c>
      <c r="BM24" s="315">
        <v>2202</v>
      </c>
      <c r="BN24" s="315">
        <v>2714</v>
      </c>
      <c r="BO24" s="315">
        <v>3613</v>
      </c>
      <c r="BP24" s="316">
        <v>2590</v>
      </c>
      <c r="BQ24" s="306">
        <v>55898</v>
      </c>
    </row>
    <row customHeight="true" ht="13" r="25">
      <c r="A25" s="304"/>
      <c r="M25">
        <f t="shared" si="6"/>
      </c>
      <c r="N25">
        <f t="shared" si="0"/>
      </c>
      <c r="O25">
        <f t="shared" si="1"/>
      </c>
      <c r="P25">
        <f t="shared" si="2"/>
      </c>
      <c r="Q25" s="310">
        <v>24</v>
      </c>
      <c r="R25" s="310" t="s">
        <v>715</v>
      </c>
      <c r="S25" s="312">
        <v>920</v>
      </c>
      <c r="T25" s="312">
        <v>1455</v>
      </c>
      <c r="U25" s="312">
        <v>1080</v>
      </c>
      <c r="V25" s="312">
        <v>741</v>
      </c>
      <c r="W25" s="312">
        <v>579</v>
      </c>
      <c r="X25" s="312">
        <v>580</v>
      </c>
      <c r="Y25" s="312">
        <v>456</v>
      </c>
      <c r="Z25" s="312">
        <v>535</v>
      </c>
      <c r="AA25" s="312">
        <v>759</v>
      </c>
      <c r="AB25" s="312">
        <v>1278</v>
      </c>
      <c r="AC25" s="312">
        <v>2564</v>
      </c>
      <c r="AD25" s="312">
        <v>2914</v>
      </c>
      <c r="AE25" s="312">
        <v>2268</v>
      </c>
      <c r="AF25" s="312">
        <v>2403</v>
      </c>
      <c r="AG25" s="312">
        <v>1500</v>
      </c>
      <c r="AH25" s="312">
        <v>1215</v>
      </c>
      <c r="AI25" s="312">
        <v>1079</v>
      </c>
      <c r="AJ25" s="312">
        <v>947</v>
      </c>
      <c r="AK25" s="312">
        <v>698</v>
      </c>
      <c r="AL25" s="313">
        <v>658</v>
      </c>
      <c r="AM25" s="313">
        <v>872</v>
      </c>
      <c r="AN25" s="313">
        <v>1539</v>
      </c>
      <c r="AO25" s="313">
        <v>2357</v>
      </c>
      <c r="AP25" s="313">
        <v>3047</v>
      </c>
      <c r="AQ25" s="314">
        <v>2931</v>
      </c>
      <c r="AR25" s="315">
        <v>2567</v>
      </c>
      <c r="AS25" s="315">
        <v>1525</v>
      </c>
      <c r="AT25" s="315">
        <v>1349</v>
      </c>
      <c r="AU25" s="315">
        <v>1211</v>
      </c>
      <c r="AV25" s="315">
        <v>1182</v>
      </c>
      <c r="AW25" s="315">
        <v>742</v>
      </c>
      <c r="AX25" s="315">
        <v>684</v>
      </c>
      <c r="AY25" s="315">
        <v>839</v>
      </c>
      <c r="AZ25" s="315">
        <v>1645</v>
      </c>
      <c r="BA25" s="315">
        <v>2386</v>
      </c>
      <c r="BB25" s="315">
        <v>3181</v>
      </c>
      <c r="BC25" s="315">
        <v>2777</v>
      </c>
      <c r="BD25" s="315">
        <v>2829</v>
      </c>
      <c r="BE25" s="315">
        <v>1789</v>
      </c>
      <c r="BF25" s="315">
        <v>1313</v>
      </c>
      <c r="BG25" s="315">
        <v>1174</v>
      </c>
      <c r="BH25" s="315">
        <v>1044</v>
      </c>
      <c r="BI25" s="315">
        <v>741</v>
      </c>
      <c r="BJ25" s="315">
        <v>655</v>
      </c>
      <c r="BK25" s="315">
        <v>824</v>
      </c>
      <c r="BL25" s="315">
        <v>2086</v>
      </c>
      <c r="BM25" s="315">
        <v>2161</v>
      </c>
      <c r="BN25" s="315">
        <v>2615</v>
      </c>
      <c r="BO25" s="315">
        <v>3555</v>
      </c>
      <c r="BP25" s="316">
        <v>2580</v>
      </c>
      <c r="BQ25" s="306">
        <v>54858</v>
      </c>
    </row>
    <row customHeight="true" ht="13" r="26">
      <c r="A26" s="304"/>
      <c r="M26">
        <f t="shared" si="6"/>
      </c>
      <c r="N26">
        <f t="shared" si="0"/>
      </c>
      <c r="O26">
        <f t="shared" si="1"/>
      </c>
      <c r="P26">
        <f t="shared" si="2"/>
      </c>
      <c r="Q26" s="310">
        <v>25</v>
      </c>
      <c r="R26" s="310" t="s">
        <v>715</v>
      </c>
      <c r="S26" s="312">
        <v>917</v>
      </c>
      <c r="T26" s="312">
        <v>1451</v>
      </c>
      <c r="U26" s="312">
        <v>1078</v>
      </c>
      <c r="V26" s="312">
        <v>708</v>
      </c>
      <c r="W26" s="312">
        <v>575</v>
      </c>
      <c r="X26" s="312">
        <v>574</v>
      </c>
      <c r="Y26" s="312">
        <v>431</v>
      </c>
      <c r="Z26" s="312">
        <v>526</v>
      </c>
      <c r="AA26" s="312">
        <v>756</v>
      </c>
      <c r="AB26" s="312">
        <v>1261</v>
      </c>
      <c r="AC26" s="312">
        <v>2125</v>
      </c>
      <c r="AD26" s="312">
        <v>2906</v>
      </c>
      <c r="AE26" s="312">
        <v>2247</v>
      </c>
      <c r="AF26" s="312">
        <v>2398</v>
      </c>
      <c r="AG26" s="312">
        <v>1434</v>
      </c>
      <c r="AH26" s="312">
        <v>1215</v>
      </c>
      <c r="AI26" s="312">
        <v>1077</v>
      </c>
      <c r="AJ26" s="312">
        <v>913</v>
      </c>
      <c r="AK26" s="312">
        <v>694</v>
      </c>
      <c r="AL26" s="313">
        <v>613</v>
      </c>
      <c r="AM26" s="313">
        <v>855</v>
      </c>
      <c r="AN26" s="313">
        <v>1523</v>
      </c>
      <c r="AO26" s="313">
        <v>2087</v>
      </c>
      <c r="AP26" s="313">
        <v>3029</v>
      </c>
      <c r="AQ26" s="314">
        <v>2828</v>
      </c>
      <c r="AR26" s="315">
        <v>2455</v>
      </c>
      <c r="AS26" s="315">
        <v>1449</v>
      </c>
      <c r="AT26" s="315">
        <v>1311</v>
      </c>
      <c r="AU26" s="315">
        <v>1205</v>
      </c>
      <c r="AV26" s="315">
        <v>1110</v>
      </c>
      <c r="AW26" s="315">
        <v>730</v>
      </c>
      <c r="AX26" s="315">
        <v>665</v>
      </c>
      <c r="AY26" s="315">
        <v>814</v>
      </c>
      <c r="AZ26" s="315">
        <v>1621</v>
      </c>
      <c r="BA26" s="315">
        <v>2339</v>
      </c>
      <c r="BB26" s="315">
        <v>3159</v>
      </c>
      <c r="BC26" s="315">
        <v>2763</v>
      </c>
      <c r="BD26" s="315">
        <v>2735</v>
      </c>
      <c r="BE26" s="315">
        <v>1694</v>
      </c>
      <c r="BF26" s="315">
        <v>1293</v>
      </c>
      <c r="BG26" s="315">
        <v>1174</v>
      </c>
      <c r="BH26" s="315">
        <v>1028</v>
      </c>
      <c r="BI26" s="315">
        <v>733</v>
      </c>
      <c r="BJ26" s="315">
        <v>630</v>
      </c>
      <c r="BK26" s="315">
        <v>790</v>
      </c>
      <c r="BL26" s="315">
        <v>2006</v>
      </c>
      <c r="BM26" s="315">
        <v>2130</v>
      </c>
      <c r="BN26" s="315">
        <v>2590</v>
      </c>
      <c r="BO26" s="315">
        <v>3482</v>
      </c>
      <c r="BP26" s="316">
        <v>2480</v>
      </c>
      <c r="BQ26" s="306">
        <v>53321</v>
      </c>
    </row>
    <row customHeight="true" ht="13" r="27">
      <c r="A27" s="304"/>
      <c r="M27">
        <f t="shared" si="6"/>
      </c>
      <c r="N27">
        <f t="shared" si="0"/>
      </c>
      <c r="O27">
        <f t="shared" si="1"/>
      </c>
      <c r="P27">
        <f t="shared" si="2"/>
      </c>
      <c r="Q27" s="310">
        <v>26</v>
      </c>
      <c r="R27" s="310" t="s">
        <v>715</v>
      </c>
      <c r="S27" s="312">
        <v>911</v>
      </c>
      <c r="T27" s="312">
        <v>1231</v>
      </c>
      <c r="U27" s="312">
        <v>1048</v>
      </c>
      <c r="V27" s="312">
        <v>692</v>
      </c>
      <c r="W27" s="312">
        <v>571</v>
      </c>
      <c r="X27" s="312">
        <v>565</v>
      </c>
      <c r="Y27" s="312">
        <v>421</v>
      </c>
      <c r="Z27" s="312">
        <v>502</v>
      </c>
      <c r="AA27" s="312">
        <v>693</v>
      </c>
      <c r="AB27" s="312">
        <v>1206</v>
      </c>
      <c r="AC27" s="312">
        <v>2088</v>
      </c>
      <c r="AD27" s="312">
        <v>2904</v>
      </c>
      <c r="AE27" s="312">
        <v>2192</v>
      </c>
      <c r="AF27" s="312">
        <v>2398</v>
      </c>
      <c r="AG27" s="312">
        <v>1419</v>
      </c>
      <c r="AH27" s="312">
        <v>1185</v>
      </c>
      <c r="AI27" s="312">
        <v>1064</v>
      </c>
      <c r="AJ27" s="312">
        <v>902</v>
      </c>
      <c r="AK27" s="312">
        <v>668</v>
      </c>
      <c r="AL27" s="313">
        <v>604</v>
      </c>
      <c r="AM27" s="313">
        <v>853</v>
      </c>
      <c r="AN27" s="313">
        <v>1457</v>
      </c>
      <c r="AO27" s="313">
        <v>2074</v>
      </c>
      <c r="AP27" s="313">
        <v>2949</v>
      </c>
      <c r="AQ27" s="314">
        <v>2812</v>
      </c>
      <c r="AR27" s="315">
        <v>2409</v>
      </c>
      <c r="AS27" s="315">
        <v>1364</v>
      </c>
      <c r="AT27" s="315">
        <v>1239</v>
      </c>
      <c r="AU27" s="315">
        <v>1202</v>
      </c>
      <c r="AV27" s="315">
        <v>1055</v>
      </c>
      <c r="AW27" s="315">
        <v>729</v>
      </c>
      <c r="AX27" s="315">
        <v>638</v>
      </c>
      <c r="AY27" s="315">
        <v>791</v>
      </c>
      <c r="AZ27" s="315">
        <v>1588</v>
      </c>
      <c r="BA27" s="315">
        <v>2338</v>
      </c>
      <c r="BB27" s="315">
        <v>3153</v>
      </c>
      <c r="BC27" s="315">
        <v>2717</v>
      </c>
      <c r="BD27" s="315">
        <v>2684</v>
      </c>
      <c r="BE27" s="315">
        <v>1624</v>
      </c>
      <c r="BF27" s="315">
        <v>1263</v>
      </c>
      <c r="BG27" s="315">
        <v>1142</v>
      </c>
      <c r="BH27" s="315">
        <v>960</v>
      </c>
      <c r="BI27" s="315">
        <v>713</v>
      </c>
      <c r="BJ27" s="315">
        <v>616</v>
      </c>
      <c r="BK27" s="315">
        <v>756</v>
      </c>
      <c r="BL27" s="315">
        <v>1805</v>
      </c>
      <c r="BM27" s="315">
        <v>2020</v>
      </c>
      <c r="BN27" s="315">
        <v>2567</v>
      </c>
      <c r="BO27" s="315">
        <v>3274</v>
      </c>
      <c r="BP27" s="316">
        <v>2334</v>
      </c>
      <c r="BQ27" s="306">
        <v>51730</v>
      </c>
    </row>
    <row customHeight="true" ht="13" r="28">
      <c r="A28" s="304"/>
      <c r="M28">
        <f t="shared" si="6"/>
      </c>
      <c r="N28">
        <f t="shared" si="0"/>
      </c>
      <c r="O28">
        <f t="shared" si="1"/>
      </c>
      <c r="P28">
        <f t="shared" si="2"/>
      </c>
      <c r="Q28" s="310">
        <v>27</v>
      </c>
      <c r="R28" s="310" t="s">
        <v>715</v>
      </c>
      <c r="S28" s="312">
        <v>900</v>
      </c>
      <c r="T28" s="312">
        <v>1216</v>
      </c>
      <c r="U28" s="312">
        <v>1033</v>
      </c>
      <c r="V28" s="312">
        <v>663</v>
      </c>
      <c r="W28" s="312">
        <v>570</v>
      </c>
      <c r="X28" s="312">
        <v>561</v>
      </c>
      <c r="Y28" s="312">
        <v>408</v>
      </c>
      <c r="Z28" s="312">
        <v>500</v>
      </c>
      <c r="AA28" s="312">
        <v>680</v>
      </c>
      <c r="AB28" s="312">
        <v>1139</v>
      </c>
      <c r="AC28" s="312">
        <v>2071</v>
      </c>
      <c r="AD28" s="312">
        <v>2685</v>
      </c>
      <c r="AE28" s="312">
        <v>2039</v>
      </c>
      <c r="AF28" s="312">
        <v>2398</v>
      </c>
      <c r="AG28" s="312">
        <v>1387</v>
      </c>
      <c r="AH28" s="312">
        <v>1138</v>
      </c>
      <c r="AI28" s="312">
        <v>1038</v>
      </c>
      <c r="AJ28" s="312">
        <v>896</v>
      </c>
      <c r="AK28" s="312">
        <v>655</v>
      </c>
      <c r="AL28" s="313">
        <v>589</v>
      </c>
      <c r="AM28" s="313">
        <v>835</v>
      </c>
      <c r="AN28" s="313">
        <v>1373</v>
      </c>
      <c r="AO28" s="313">
        <v>2061</v>
      </c>
      <c r="AP28" s="313">
        <v>2739</v>
      </c>
      <c r="AQ28" s="314">
        <v>2760</v>
      </c>
      <c r="AR28" s="315">
        <v>2249</v>
      </c>
      <c r="AS28" s="315">
        <v>1352</v>
      </c>
      <c r="AT28" s="315">
        <v>1232</v>
      </c>
      <c r="AU28" s="315">
        <v>1186</v>
      </c>
      <c r="AV28" s="315">
        <v>1030</v>
      </c>
      <c r="AW28" s="315">
        <v>722</v>
      </c>
      <c r="AX28" s="315">
        <v>616</v>
      </c>
      <c r="AY28" s="315">
        <v>789</v>
      </c>
      <c r="AZ28" s="315">
        <v>1581</v>
      </c>
      <c r="BA28" s="315">
        <v>2304</v>
      </c>
      <c r="BB28" s="315">
        <v>2916</v>
      </c>
      <c r="BC28" s="315">
        <v>2607</v>
      </c>
      <c r="BD28" s="315">
        <v>2549</v>
      </c>
      <c r="BE28" s="315">
        <v>1603</v>
      </c>
      <c r="BF28" s="315">
        <v>1263</v>
      </c>
      <c r="BG28" s="315">
        <v>1103</v>
      </c>
      <c r="BH28" s="315">
        <v>958</v>
      </c>
      <c r="BI28" s="315">
        <v>709</v>
      </c>
      <c r="BJ28" s="315">
        <v>607</v>
      </c>
      <c r="BK28" s="315">
        <v>741</v>
      </c>
      <c r="BL28" s="315">
        <v>1696</v>
      </c>
      <c r="BM28" s="315">
        <v>1976</v>
      </c>
      <c r="BN28" s="315">
        <v>2555</v>
      </c>
      <c r="BO28" s="315">
        <v>3182</v>
      </c>
      <c r="BP28" s="316">
        <v>2274</v>
      </c>
      <c r="BQ28" s="306">
        <v>50157</v>
      </c>
    </row>
    <row customHeight="true" ht="13" r="29">
      <c r="A29" s="304"/>
      <c r="M29">
        <f t="shared" si="6"/>
      </c>
      <c r="N29">
        <f t="shared" si="0"/>
      </c>
      <c r="O29">
        <f t="shared" si="1"/>
      </c>
      <c r="P29">
        <f t="shared" si="2"/>
      </c>
      <c r="Q29" s="310">
        <v>28</v>
      </c>
      <c r="R29" s="310" t="s">
        <v>715</v>
      </c>
      <c r="S29" s="312">
        <v>893</v>
      </c>
      <c r="T29" s="312">
        <v>1169</v>
      </c>
      <c r="U29" s="312">
        <v>1032</v>
      </c>
      <c r="V29" s="312">
        <v>659</v>
      </c>
      <c r="W29" s="312">
        <v>558</v>
      </c>
      <c r="X29" s="312">
        <v>544</v>
      </c>
      <c r="Y29" s="312">
        <v>397</v>
      </c>
      <c r="Z29" s="312">
        <v>497</v>
      </c>
      <c r="AA29" s="312">
        <v>665</v>
      </c>
      <c r="AB29" s="312">
        <v>1112</v>
      </c>
      <c r="AC29" s="312">
        <v>2016</v>
      </c>
      <c r="AD29" s="312">
        <v>2580</v>
      </c>
      <c r="AE29" s="312">
        <v>1982</v>
      </c>
      <c r="AF29" s="312">
        <v>2398</v>
      </c>
      <c r="AG29" s="312">
        <v>1386</v>
      </c>
      <c r="AH29" s="312">
        <v>1064</v>
      </c>
      <c r="AI29" s="312">
        <v>977</v>
      </c>
      <c r="AJ29" s="312">
        <v>889</v>
      </c>
      <c r="AK29" s="312">
        <v>649</v>
      </c>
      <c r="AL29" s="313">
        <v>570</v>
      </c>
      <c r="AM29" s="313">
        <v>796</v>
      </c>
      <c r="AN29" s="313">
        <v>1362</v>
      </c>
      <c r="AO29" s="313">
        <v>1931</v>
      </c>
      <c r="AP29" s="313">
        <v>2722</v>
      </c>
      <c r="AQ29" s="314">
        <v>2431</v>
      </c>
      <c r="AR29" s="315">
        <v>2205</v>
      </c>
      <c r="AS29" s="315">
        <v>1340</v>
      </c>
      <c r="AT29" s="315">
        <v>1187</v>
      </c>
      <c r="AU29" s="315">
        <v>1172</v>
      </c>
      <c r="AV29" s="315">
        <v>1020</v>
      </c>
      <c r="AW29" s="315">
        <v>703</v>
      </c>
      <c r="AX29" s="315">
        <v>585</v>
      </c>
      <c r="AY29" s="315">
        <v>754</v>
      </c>
      <c r="AZ29" s="315">
        <v>1469</v>
      </c>
      <c r="BA29" s="315">
        <v>2270</v>
      </c>
      <c r="BB29" s="315">
        <v>2879</v>
      </c>
      <c r="BC29" s="315">
        <v>2593</v>
      </c>
      <c r="BD29" s="315">
        <v>2404</v>
      </c>
      <c r="BE29" s="315">
        <v>1529</v>
      </c>
      <c r="BF29" s="315">
        <v>1239</v>
      </c>
      <c r="BG29" s="315">
        <v>1060</v>
      </c>
      <c r="BH29" s="315">
        <v>938</v>
      </c>
      <c r="BI29" s="315">
        <v>681</v>
      </c>
      <c r="BJ29" s="315">
        <v>602</v>
      </c>
      <c r="BK29" s="315">
        <v>679</v>
      </c>
      <c r="BL29" s="315">
        <v>1662</v>
      </c>
      <c r="BM29" s="315">
        <v>1960</v>
      </c>
      <c r="BN29" s="315">
        <v>2522</v>
      </c>
      <c r="BO29" s="315">
        <v>3169</v>
      </c>
      <c r="BP29" s="316">
        <v>2209</v>
      </c>
      <c r="BQ29" s="306">
        <v>48643</v>
      </c>
    </row>
    <row customHeight="true" ht="13" r="30">
      <c r="A30" s="304"/>
      <c r="M30">
        <f t="shared" si="6"/>
      </c>
      <c r="N30">
        <f t="shared" si="0"/>
      </c>
      <c r="O30">
        <f t="shared" si="1"/>
      </c>
      <c r="P30">
        <f t="shared" si="2"/>
      </c>
      <c r="Q30" s="310">
        <v>29</v>
      </c>
      <c r="R30" s="310" t="s">
        <v>716</v>
      </c>
      <c r="S30" s="312">
        <v>890</v>
      </c>
      <c r="T30" s="312">
        <v>1151</v>
      </c>
      <c r="U30" s="312">
        <v>1002</v>
      </c>
      <c r="V30" s="312">
        <v>616</v>
      </c>
      <c r="W30" s="312">
        <v>539</v>
      </c>
      <c r="X30" s="312">
        <v>500</v>
      </c>
      <c r="Y30" s="312">
        <v>388</v>
      </c>
      <c r="Z30" s="312">
        <v>486</v>
      </c>
      <c r="AA30" s="312">
        <v>649</v>
      </c>
      <c r="AB30" s="312">
        <v>1077</v>
      </c>
      <c r="AC30" s="312">
        <v>1980</v>
      </c>
      <c r="AD30" s="312">
        <v>2578</v>
      </c>
      <c r="AE30" s="312">
        <v>1876</v>
      </c>
      <c r="AF30" s="312">
        <v>2394</v>
      </c>
      <c r="AG30" s="312">
        <v>1385</v>
      </c>
      <c r="AH30" s="312">
        <v>1060</v>
      </c>
      <c r="AI30" s="312">
        <v>960</v>
      </c>
      <c r="AJ30" s="312">
        <v>830</v>
      </c>
      <c r="AK30" s="312">
        <v>647</v>
      </c>
      <c r="AL30" s="313">
        <v>560</v>
      </c>
      <c r="AM30" s="313">
        <v>790</v>
      </c>
      <c r="AN30" s="313">
        <v>1284</v>
      </c>
      <c r="AO30" s="313">
        <v>1928</v>
      </c>
      <c r="AP30" s="313">
        <v>2635</v>
      </c>
      <c r="AQ30" s="314">
        <v>2246</v>
      </c>
      <c r="AR30" s="315">
        <v>2178</v>
      </c>
      <c r="AS30" s="315">
        <v>1261</v>
      </c>
      <c r="AT30" s="315">
        <v>1173</v>
      </c>
      <c r="AU30" s="315">
        <v>1151</v>
      </c>
      <c r="AV30" s="315">
        <v>960</v>
      </c>
      <c r="AW30" s="315">
        <v>662</v>
      </c>
      <c r="AX30" s="315">
        <v>582</v>
      </c>
      <c r="AY30" s="315">
        <v>719</v>
      </c>
      <c r="AZ30" s="315">
        <v>1451</v>
      </c>
      <c r="BA30" s="315">
        <v>2256</v>
      </c>
      <c r="BB30" s="315">
        <v>2870</v>
      </c>
      <c r="BC30" s="315">
        <v>2591</v>
      </c>
      <c r="BD30" s="315">
        <v>2325</v>
      </c>
      <c r="BE30" s="315">
        <v>1528</v>
      </c>
      <c r="BF30" s="315">
        <v>1234</v>
      </c>
      <c r="BG30" s="315">
        <v>1052</v>
      </c>
      <c r="BH30" s="315">
        <v>938</v>
      </c>
      <c r="BI30" s="315">
        <v>679</v>
      </c>
      <c r="BJ30" s="315">
        <v>583</v>
      </c>
      <c r="BK30" s="315">
        <v>663</v>
      </c>
      <c r="BL30" s="315">
        <v>1569</v>
      </c>
      <c r="BM30" s="315">
        <v>1890</v>
      </c>
      <c r="BN30" s="315">
        <v>2495</v>
      </c>
      <c r="BO30" s="315">
        <v>3068</v>
      </c>
      <c r="BP30" s="316">
        <v>2181</v>
      </c>
      <c r="BQ30" s="306">
        <v>47502</v>
      </c>
    </row>
    <row customHeight="true" ht="13" r="31">
      <c r="A31" s="304"/>
      <c r="M31">
        <f t="shared" si="6"/>
      </c>
      <c r="N31">
        <f t="shared" si="0"/>
      </c>
      <c r="O31">
        <f t="shared" si="1"/>
      </c>
      <c r="P31">
        <f t="shared" si="2"/>
      </c>
      <c r="Q31" s="310">
        <v>30</v>
      </c>
      <c r="R31" s="310" t="s">
        <v>716</v>
      </c>
      <c r="S31" s="312">
        <v>874</v>
      </c>
      <c r="T31" s="312">
        <v>1116</v>
      </c>
      <c r="U31" s="312">
        <v>988</v>
      </c>
      <c r="V31" s="312">
        <v>567</v>
      </c>
      <c r="W31" s="312">
        <v>525</v>
      </c>
      <c r="X31" s="312">
        <v>485</v>
      </c>
      <c r="Y31" s="312">
        <v>384</v>
      </c>
      <c r="Z31" s="312">
        <v>478</v>
      </c>
      <c r="AA31" s="312">
        <v>646</v>
      </c>
      <c r="AB31" s="312">
        <v>1034</v>
      </c>
      <c r="AC31" s="312">
        <v>1950</v>
      </c>
      <c r="AD31" s="312">
        <v>2484</v>
      </c>
      <c r="AE31" s="312">
        <v>1848</v>
      </c>
      <c r="AF31" s="312">
        <v>2386</v>
      </c>
      <c r="AG31" s="312">
        <v>1310</v>
      </c>
      <c r="AH31" s="312">
        <v>1052</v>
      </c>
      <c r="AI31" s="312">
        <v>936</v>
      </c>
      <c r="AJ31" s="312">
        <v>782</v>
      </c>
      <c r="AK31" s="312">
        <v>631</v>
      </c>
      <c r="AL31" s="313">
        <v>556</v>
      </c>
      <c r="AM31" s="313">
        <v>770</v>
      </c>
      <c r="AN31" s="313">
        <v>1235</v>
      </c>
      <c r="AO31" s="313">
        <v>1902</v>
      </c>
      <c r="AP31" s="313">
        <v>2518</v>
      </c>
      <c r="AQ31" s="314">
        <v>2209</v>
      </c>
      <c r="AR31" s="315">
        <v>1865</v>
      </c>
      <c r="AS31" s="315">
        <v>1197</v>
      </c>
      <c r="AT31" s="315">
        <v>1149</v>
      </c>
      <c r="AU31" s="315">
        <v>1061</v>
      </c>
      <c r="AV31" s="315">
        <v>910</v>
      </c>
      <c r="AW31" s="315">
        <v>660</v>
      </c>
      <c r="AX31" s="315">
        <v>541</v>
      </c>
      <c r="AY31" s="315">
        <v>713</v>
      </c>
      <c r="AZ31" s="315">
        <v>1383</v>
      </c>
      <c r="BA31" s="315">
        <v>2168</v>
      </c>
      <c r="BB31" s="315">
        <v>2810</v>
      </c>
      <c r="BC31" s="315">
        <v>2389</v>
      </c>
      <c r="BD31" s="315">
        <v>2279</v>
      </c>
      <c r="BE31" s="315">
        <v>1515</v>
      </c>
      <c r="BF31" s="315">
        <v>1232</v>
      </c>
      <c r="BG31" s="315">
        <v>1051</v>
      </c>
      <c r="BH31" s="315">
        <v>933</v>
      </c>
      <c r="BI31" s="315">
        <v>666</v>
      </c>
      <c r="BJ31" s="315">
        <v>582</v>
      </c>
      <c r="BK31" s="315">
        <v>651</v>
      </c>
      <c r="BL31" s="315">
        <v>1491</v>
      </c>
      <c r="BM31" s="315">
        <v>1884</v>
      </c>
      <c r="BN31" s="315">
        <v>2473</v>
      </c>
      <c r="BO31" s="315">
        <v>3033</v>
      </c>
      <c r="BP31" s="316">
        <v>2155</v>
      </c>
      <c r="BQ31" s="306">
        <v>45981</v>
      </c>
    </row>
    <row customHeight="true" ht="13" r="32">
      <c r="A32" s="304"/>
      <c r="M32">
        <f t="shared" si="6"/>
      </c>
      <c r="N32">
        <f t="shared" si="0"/>
      </c>
      <c r="O32">
        <f t="shared" si="1"/>
      </c>
      <c r="P32">
        <f t="shared" si="2"/>
      </c>
      <c r="Q32" s="310">
        <v>31</v>
      </c>
      <c r="R32" s="310" t="s">
        <v>716</v>
      </c>
      <c r="S32" s="312">
        <v>874</v>
      </c>
      <c r="T32" s="312">
        <v>1037</v>
      </c>
      <c r="U32" s="312">
        <v>978</v>
      </c>
      <c r="V32" s="312">
        <v>549</v>
      </c>
      <c r="W32" s="312">
        <v>519</v>
      </c>
      <c r="X32" s="312">
        <v>461</v>
      </c>
      <c r="Y32" s="312">
        <v>380</v>
      </c>
      <c r="Z32" s="312">
        <v>469</v>
      </c>
      <c r="AA32" s="312">
        <v>636</v>
      </c>
      <c r="AB32" s="312">
        <v>998</v>
      </c>
      <c r="AC32" s="312">
        <v>1871</v>
      </c>
      <c r="AD32" s="312">
        <v>2468</v>
      </c>
      <c r="AE32" s="312">
        <v>1741</v>
      </c>
      <c r="AF32" s="312">
        <v>2384</v>
      </c>
      <c r="AG32" s="312">
        <v>1295</v>
      </c>
      <c r="AH32" s="312">
        <v>1049</v>
      </c>
      <c r="AI32" s="312">
        <v>881</v>
      </c>
      <c r="AJ32" s="312">
        <v>781</v>
      </c>
      <c r="AK32" s="312">
        <v>584</v>
      </c>
      <c r="AL32" s="313">
        <v>531</v>
      </c>
      <c r="AM32" s="313">
        <v>734</v>
      </c>
      <c r="AN32" s="313">
        <v>1225</v>
      </c>
      <c r="AO32" s="313">
        <v>1896</v>
      </c>
      <c r="AP32" s="313">
        <v>2494</v>
      </c>
      <c r="AQ32" s="314">
        <v>2179</v>
      </c>
      <c r="AR32" s="315">
        <v>1829</v>
      </c>
      <c r="AS32" s="315">
        <v>1189</v>
      </c>
      <c r="AT32" s="315">
        <v>1142</v>
      </c>
      <c r="AU32" s="315">
        <v>1022</v>
      </c>
      <c r="AV32" s="315">
        <v>887</v>
      </c>
      <c r="AW32" s="315">
        <v>648</v>
      </c>
      <c r="AX32" s="315">
        <v>538</v>
      </c>
      <c r="AY32" s="315">
        <v>694</v>
      </c>
      <c r="AZ32" s="315">
        <v>1364</v>
      </c>
      <c r="BA32" s="315">
        <v>2041</v>
      </c>
      <c r="BB32" s="315">
        <v>2761</v>
      </c>
      <c r="BC32" s="315">
        <v>2376</v>
      </c>
      <c r="BD32" s="315">
        <v>2162</v>
      </c>
      <c r="BE32" s="315">
        <v>1511</v>
      </c>
      <c r="BF32" s="315">
        <v>1217</v>
      </c>
      <c r="BG32" s="315">
        <v>1043</v>
      </c>
      <c r="BH32" s="315">
        <v>919</v>
      </c>
      <c r="BI32" s="315">
        <v>662</v>
      </c>
      <c r="BJ32" s="315">
        <v>578</v>
      </c>
      <c r="BK32" s="315">
        <v>622</v>
      </c>
      <c r="BL32" s="315">
        <v>1395</v>
      </c>
      <c r="BM32" s="315">
        <v>1838</v>
      </c>
      <c r="BN32" s="315">
        <v>2463</v>
      </c>
      <c r="BO32" s="315">
        <v>3006</v>
      </c>
      <c r="BP32" s="316">
        <v>2133</v>
      </c>
      <c r="BQ32" s="306">
        <v>45099</v>
      </c>
    </row>
    <row customHeight="true" ht="13" r="33">
      <c r="A33" s="304"/>
      <c r="M33">
        <f t="shared" si="6"/>
      </c>
      <c r="N33">
        <f t="shared" si="0"/>
      </c>
      <c r="O33">
        <f t="shared" si="1"/>
      </c>
      <c r="P33">
        <f t="shared" si="2"/>
      </c>
      <c r="Q33" s="310">
        <v>32</v>
      </c>
      <c r="R33" s="310" t="s">
        <v>716</v>
      </c>
      <c r="S33" s="312">
        <v>867</v>
      </c>
      <c r="T33" s="312">
        <v>1036</v>
      </c>
      <c r="U33" s="312">
        <v>929</v>
      </c>
      <c r="V33" s="312">
        <v>500</v>
      </c>
      <c r="W33" s="312">
        <v>507</v>
      </c>
      <c r="X33" s="312">
        <v>461</v>
      </c>
      <c r="Y33" s="312">
        <v>357</v>
      </c>
      <c r="Z33" s="312">
        <v>456</v>
      </c>
      <c r="AA33" s="312">
        <v>634</v>
      </c>
      <c r="AB33" s="312">
        <v>978</v>
      </c>
      <c r="AC33" s="312">
        <v>1692</v>
      </c>
      <c r="AD33" s="312">
        <v>2394</v>
      </c>
      <c r="AE33" s="312">
        <v>1647</v>
      </c>
      <c r="AF33" s="312">
        <v>2232</v>
      </c>
      <c r="AG33" s="312">
        <v>1290</v>
      </c>
      <c r="AH33" s="312">
        <v>1018</v>
      </c>
      <c r="AI33" s="312">
        <v>878</v>
      </c>
      <c r="AJ33" s="312">
        <v>708</v>
      </c>
      <c r="AK33" s="312">
        <v>583</v>
      </c>
      <c r="AL33" s="313">
        <v>525</v>
      </c>
      <c r="AM33" s="313">
        <v>706</v>
      </c>
      <c r="AN33" s="313">
        <v>1180</v>
      </c>
      <c r="AO33" s="313">
        <v>1663</v>
      </c>
      <c r="AP33" s="313">
        <v>2490</v>
      </c>
      <c r="AQ33" s="314">
        <v>2127</v>
      </c>
      <c r="AR33" s="315">
        <v>1794</v>
      </c>
      <c r="AS33" s="315">
        <v>1181</v>
      </c>
      <c r="AT33" s="315">
        <v>1112</v>
      </c>
      <c r="AU33" s="315">
        <v>1015</v>
      </c>
      <c r="AV33" s="315">
        <v>871</v>
      </c>
      <c r="AW33" s="315">
        <v>634</v>
      </c>
      <c r="AX33" s="315">
        <v>535</v>
      </c>
      <c r="AY33" s="315">
        <v>665</v>
      </c>
      <c r="AZ33" s="315">
        <v>1356</v>
      </c>
      <c r="BA33" s="315">
        <v>1971</v>
      </c>
      <c r="BB33" s="315">
        <v>2751</v>
      </c>
      <c r="BC33" s="315">
        <v>2354</v>
      </c>
      <c r="BD33" s="315">
        <v>2153</v>
      </c>
      <c r="BE33" s="315">
        <v>1492</v>
      </c>
      <c r="BF33" s="315">
        <v>1179</v>
      </c>
      <c r="BG33" s="315">
        <v>1039</v>
      </c>
      <c r="BH33" s="315">
        <v>916</v>
      </c>
      <c r="BI33" s="315">
        <v>661</v>
      </c>
      <c r="BJ33" s="315">
        <v>568</v>
      </c>
      <c r="BK33" s="315">
        <v>608</v>
      </c>
      <c r="BL33" s="315">
        <v>1383</v>
      </c>
      <c r="BM33" s="315">
        <v>1818</v>
      </c>
      <c r="BN33" s="315">
        <v>2420</v>
      </c>
      <c r="BO33" s="315">
        <v>2904</v>
      </c>
      <c r="BP33" s="316">
        <v>2103</v>
      </c>
      <c r="BQ33" s="306">
        <v>44174</v>
      </c>
    </row>
    <row customHeight="true" ht="13" r="34">
      <c r="A34" s="304"/>
      <c r="M34">
        <f t="shared" si="6"/>
      </c>
      <c r="N34">
        <f t="shared" si="0"/>
      </c>
      <c r="O34">
        <f t="shared" si="1"/>
      </c>
      <c r="P34">
        <f t="shared" si="2"/>
      </c>
      <c r="Q34" s="310">
        <v>33</v>
      </c>
      <c r="R34" s="310" t="s">
        <v>716</v>
      </c>
      <c r="S34" s="312">
        <v>834</v>
      </c>
      <c r="T34" s="312">
        <v>992</v>
      </c>
      <c r="U34" s="312">
        <v>900</v>
      </c>
      <c r="V34" s="312">
        <v>491</v>
      </c>
      <c r="W34" s="312">
        <v>492</v>
      </c>
      <c r="X34" s="312">
        <v>443</v>
      </c>
      <c r="Y34" s="312">
        <v>354</v>
      </c>
      <c r="Z34" s="312">
        <v>412</v>
      </c>
      <c r="AA34" s="312">
        <v>598</v>
      </c>
      <c r="AB34" s="312">
        <v>956</v>
      </c>
      <c r="AC34" s="312">
        <v>1610</v>
      </c>
      <c r="AD34" s="312">
        <v>2325</v>
      </c>
      <c r="AE34" s="312">
        <v>1579</v>
      </c>
      <c r="AF34" s="312">
        <v>2144</v>
      </c>
      <c r="AG34" s="312">
        <v>1262</v>
      </c>
      <c r="AH34" s="312">
        <v>1014</v>
      </c>
      <c r="AI34" s="312">
        <v>858</v>
      </c>
      <c r="AJ34" s="312">
        <v>682</v>
      </c>
      <c r="AK34" s="312">
        <v>546</v>
      </c>
      <c r="AL34" s="313">
        <v>510</v>
      </c>
      <c r="AM34" s="313">
        <v>701</v>
      </c>
      <c r="AN34" s="313">
        <v>1172</v>
      </c>
      <c r="AO34" s="313">
        <v>1616</v>
      </c>
      <c r="AP34" s="313">
        <v>2461</v>
      </c>
      <c r="AQ34" s="314">
        <v>2083</v>
      </c>
      <c r="AR34" s="315">
        <v>1782</v>
      </c>
      <c r="AS34" s="315">
        <v>1149</v>
      </c>
      <c r="AT34" s="315">
        <v>1060</v>
      </c>
      <c r="AU34" s="315">
        <v>989</v>
      </c>
      <c r="AV34" s="315">
        <v>871</v>
      </c>
      <c r="AW34" s="315">
        <v>621</v>
      </c>
      <c r="AX34" s="315">
        <v>528</v>
      </c>
      <c r="AY34" s="315">
        <v>657</v>
      </c>
      <c r="AZ34" s="315">
        <v>1323</v>
      </c>
      <c r="BA34" s="315">
        <v>1908</v>
      </c>
      <c r="BB34" s="315">
        <v>2633</v>
      </c>
      <c r="BC34" s="315">
        <v>2316</v>
      </c>
      <c r="BD34" s="315">
        <v>2145</v>
      </c>
      <c r="BE34" s="315">
        <v>1490</v>
      </c>
      <c r="BF34" s="315">
        <v>1122</v>
      </c>
      <c r="BG34" s="315">
        <v>1025</v>
      </c>
      <c r="BH34" s="315">
        <v>886</v>
      </c>
      <c r="BI34" s="315">
        <v>648</v>
      </c>
      <c r="BJ34" s="315">
        <v>540</v>
      </c>
      <c r="BK34" s="315">
        <v>607</v>
      </c>
      <c r="BL34" s="315">
        <v>1326</v>
      </c>
      <c r="BM34" s="315">
        <v>1802</v>
      </c>
      <c r="BN34" s="315">
        <v>2409</v>
      </c>
      <c r="BO34" s="315">
        <v>2850</v>
      </c>
      <c r="BP34" s="316">
        <v>1988</v>
      </c>
      <c r="BQ34" s="306">
        <v>43218</v>
      </c>
    </row>
    <row customHeight="true" ht="13" r="35">
      <c r="A35" s="304"/>
      <c r="M35">
        <f t="shared" si="6"/>
      </c>
      <c r="N35">
        <f t="shared" si="0"/>
      </c>
      <c r="O35">
        <f t="shared" si="1"/>
      </c>
      <c r="P35">
        <f t="shared" si="2"/>
      </c>
      <c r="Q35" s="310">
        <v>34</v>
      </c>
      <c r="R35" s="310" t="s">
        <v>716</v>
      </c>
      <c r="S35" s="312">
        <v>820</v>
      </c>
      <c r="T35" s="312">
        <v>947</v>
      </c>
      <c r="U35" s="312">
        <v>899</v>
      </c>
      <c r="V35" s="312">
        <v>487</v>
      </c>
      <c r="W35" s="312">
        <v>483</v>
      </c>
      <c r="X35" s="312">
        <v>437</v>
      </c>
      <c r="Y35" s="312">
        <v>342</v>
      </c>
      <c r="Z35" s="312">
        <v>410</v>
      </c>
      <c r="AA35" s="312">
        <v>588</v>
      </c>
      <c r="AB35" s="312">
        <v>949</v>
      </c>
      <c r="AC35" s="312">
        <v>1570</v>
      </c>
      <c r="AD35" s="312">
        <v>2270</v>
      </c>
      <c r="AE35" s="312">
        <v>1577</v>
      </c>
      <c r="AF35" s="312">
        <v>2141</v>
      </c>
      <c r="AG35" s="312">
        <v>1190</v>
      </c>
      <c r="AH35" s="312">
        <v>994</v>
      </c>
      <c r="AI35" s="312">
        <v>851</v>
      </c>
      <c r="AJ35" s="312">
        <v>674</v>
      </c>
      <c r="AK35" s="312">
        <v>526</v>
      </c>
      <c r="AL35" s="313">
        <v>508</v>
      </c>
      <c r="AM35" s="313">
        <v>682</v>
      </c>
      <c r="AN35" s="313">
        <v>1157</v>
      </c>
      <c r="AO35" s="313">
        <v>1587</v>
      </c>
      <c r="AP35" s="313">
        <v>2334</v>
      </c>
      <c r="AQ35" s="314">
        <v>2078</v>
      </c>
      <c r="AR35" s="315">
        <v>1775</v>
      </c>
      <c r="AS35" s="315">
        <v>1123</v>
      </c>
      <c r="AT35" s="315">
        <v>1055</v>
      </c>
      <c r="AU35" s="315">
        <v>971</v>
      </c>
      <c r="AV35" s="315">
        <v>837</v>
      </c>
      <c r="AW35" s="315">
        <v>604</v>
      </c>
      <c r="AX35" s="315">
        <v>522</v>
      </c>
      <c r="AY35" s="315">
        <v>638</v>
      </c>
      <c r="AZ35" s="315">
        <v>1262</v>
      </c>
      <c r="BA35" s="315">
        <v>1904</v>
      </c>
      <c r="BB35" s="315">
        <v>2626</v>
      </c>
      <c r="BC35" s="315">
        <v>2311</v>
      </c>
      <c r="BD35" s="315">
        <v>2106</v>
      </c>
      <c r="BE35" s="315">
        <v>1474</v>
      </c>
      <c r="BF35" s="315">
        <v>1115</v>
      </c>
      <c r="BG35" s="315">
        <v>1016</v>
      </c>
      <c r="BH35" s="315">
        <v>872</v>
      </c>
      <c r="BI35" s="315">
        <v>640</v>
      </c>
      <c r="BJ35" s="315">
        <v>528</v>
      </c>
      <c r="BK35" s="315">
        <v>605</v>
      </c>
      <c r="BL35" s="315">
        <v>1322</v>
      </c>
      <c r="BM35" s="315">
        <v>1785</v>
      </c>
      <c r="BN35" s="315">
        <v>2312</v>
      </c>
      <c r="BO35" s="315">
        <v>2790</v>
      </c>
      <c r="BP35" s="316">
        <v>1973</v>
      </c>
      <c r="BQ35" s="306">
        <v>42512</v>
      </c>
    </row>
    <row customHeight="true" ht="13" r="36">
      <c r="A36" s="304"/>
      <c r="M36">
        <f t="shared" si="6"/>
      </c>
      <c r="N36">
        <f t="shared" si="0"/>
      </c>
      <c r="O36">
        <f t="shared" si="1"/>
      </c>
      <c r="P36">
        <f t="shared" si="2"/>
      </c>
      <c r="Q36" s="310">
        <v>35</v>
      </c>
      <c r="R36" s="310" t="s">
        <v>716</v>
      </c>
      <c r="S36" s="312">
        <v>819</v>
      </c>
      <c r="T36" s="312">
        <v>940</v>
      </c>
      <c r="U36" s="312">
        <v>882</v>
      </c>
      <c r="V36" s="312">
        <v>450</v>
      </c>
      <c r="W36" s="312">
        <v>479</v>
      </c>
      <c r="X36" s="312">
        <v>427</v>
      </c>
      <c r="Y36" s="312">
        <v>340</v>
      </c>
      <c r="Z36" s="312">
        <v>401</v>
      </c>
      <c r="AA36" s="312">
        <v>580</v>
      </c>
      <c r="AB36" s="312">
        <v>901</v>
      </c>
      <c r="AC36" s="312">
        <v>1546</v>
      </c>
      <c r="AD36" s="312">
        <v>2226</v>
      </c>
      <c r="AE36" s="312">
        <v>1561</v>
      </c>
      <c r="AF36" s="312">
        <v>2107</v>
      </c>
      <c r="AG36" s="312">
        <v>1185</v>
      </c>
      <c r="AH36" s="312">
        <v>967</v>
      </c>
      <c r="AI36" s="312">
        <v>849</v>
      </c>
      <c r="AJ36" s="312">
        <v>661</v>
      </c>
      <c r="AK36" s="312">
        <v>511</v>
      </c>
      <c r="AL36" s="313">
        <v>478</v>
      </c>
      <c r="AM36" s="313">
        <v>663</v>
      </c>
      <c r="AN36" s="313">
        <v>1150</v>
      </c>
      <c r="AO36" s="313">
        <v>1585</v>
      </c>
      <c r="AP36" s="313">
        <v>2192</v>
      </c>
      <c r="AQ36" s="314">
        <v>1995</v>
      </c>
      <c r="AR36" s="315">
        <v>1774</v>
      </c>
      <c r="AS36" s="315">
        <v>1122</v>
      </c>
      <c r="AT36" s="315">
        <v>1037</v>
      </c>
      <c r="AU36" s="315">
        <v>966</v>
      </c>
      <c r="AV36" s="315">
        <v>824</v>
      </c>
      <c r="AW36" s="315">
        <v>577</v>
      </c>
      <c r="AX36" s="315">
        <v>491</v>
      </c>
      <c r="AY36" s="315">
        <v>627</v>
      </c>
      <c r="AZ36" s="315">
        <v>1217</v>
      </c>
      <c r="BA36" s="315">
        <v>1880</v>
      </c>
      <c r="BB36" s="315">
        <v>2547</v>
      </c>
      <c r="BC36" s="315">
        <v>2281</v>
      </c>
      <c r="BD36" s="315">
        <v>2001</v>
      </c>
      <c r="BE36" s="315">
        <v>1435</v>
      </c>
      <c r="BF36" s="315">
        <v>1097</v>
      </c>
      <c r="BG36" s="315">
        <v>1015</v>
      </c>
      <c r="BH36" s="315">
        <v>868</v>
      </c>
      <c r="BI36" s="315">
        <v>638</v>
      </c>
      <c r="BJ36" s="315">
        <v>517</v>
      </c>
      <c r="BK36" s="315">
        <v>591</v>
      </c>
      <c r="BL36" s="315">
        <v>1252</v>
      </c>
      <c r="BM36" s="315">
        <v>1776</v>
      </c>
      <c r="BN36" s="315">
        <v>2300</v>
      </c>
      <c r="BO36" s="315">
        <v>2759</v>
      </c>
      <c r="BP36" s="316">
        <v>1969</v>
      </c>
      <c r="BQ36" s="306">
        <v>41624</v>
      </c>
    </row>
    <row customHeight="true" ht="13" r="37">
      <c r="A37" s="304"/>
      <c r="M37">
        <f t="shared" si="6"/>
      </c>
      <c r="N37">
        <f t="shared" si="0"/>
      </c>
      <c r="O37">
        <f t="shared" si="1"/>
      </c>
      <c r="P37">
        <f t="shared" si="2"/>
      </c>
      <c r="Q37" s="310">
        <v>36</v>
      </c>
      <c r="R37" s="310" t="s">
        <v>716</v>
      </c>
      <c r="S37" s="312">
        <v>753</v>
      </c>
      <c r="T37" s="312">
        <v>921</v>
      </c>
      <c r="U37" s="312">
        <v>845</v>
      </c>
      <c r="V37" s="312">
        <v>447</v>
      </c>
      <c r="W37" s="312">
        <v>469</v>
      </c>
      <c r="X37" s="312">
        <v>426</v>
      </c>
      <c r="Y37" s="312">
        <v>340</v>
      </c>
      <c r="Z37" s="312">
        <v>383</v>
      </c>
      <c r="AA37" s="312">
        <v>549</v>
      </c>
      <c r="AB37" s="312">
        <v>854</v>
      </c>
      <c r="AC37" s="312">
        <v>1484</v>
      </c>
      <c r="AD37" s="312">
        <v>2071</v>
      </c>
      <c r="AE37" s="312">
        <v>1517</v>
      </c>
      <c r="AF37" s="312">
        <v>2087</v>
      </c>
      <c r="AG37" s="312">
        <v>1122</v>
      </c>
      <c r="AH37" s="312">
        <v>947</v>
      </c>
      <c r="AI37" s="312">
        <v>840</v>
      </c>
      <c r="AJ37" s="312">
        <v>649</v>
      </c>
      <c r="AK37" s="312">
        <v>507</v>
      </c>
      <c r="AL37" s="313">
        <v>466</v>
      </c>
      <c r="AM37" s="313">
        <v>660</v>
      </c>
      <c r="AN37" s="313">
        <v>1133</v>
      </c>
      <c r="AO37" s="313">
        <v>1568</v>
      </c>
      <c r="AP37" s="313">
        <v>2179</v>
      </c>
      <c r="AQ37" s="314">
        <v>1992</v>
      </c>
      <c r="AR37" s="315">
        <v>1757</v>
      </c>
      <c r="AS37" s="315">
        <v>1108</v>
      </c>
      <c r="AT37" s="315">
        <v>989</v>
      </c>
      <c r="AU37" s="315">
        <v>938</v>
      </c>
      <c r="AV37" s="315">
        <v>824</v>
      </c>
      <c r="AW37" s="315">
        <v>572</v>
      </c>
      <c r="AX37" s="315">
        <v>487</v>
      </c>
      <c r="AY37" s="315">
        <v>624</v>
      </c>
      <c r="AZ37" s="315">
        <v>1209</v>
      </c>
      <c r="BA37" s="315">
        <v>1874</v>
      </c>
      <c r="BB37" s="315">
        <v>2384</v>
      </c>
      <c r="BC37" s="315">
        <v>2278</v>
      </c>
      <c r="BD37" s="315">
        <v>1980</v>
      </c>
      <c r="BE37" s="315">
        <v>1424</v>
      </c>
      <c r="BF37" s="315">
        <v>1083</v>
      </c>
      <c r="BG37" s="315">
        <v>978</v>
      </c>
      <c r="BH37" s="315">
        <v>863</v>
      </c>
      <c r="BI37" s="315">
        <v>630</v>
      </c>
      <c r="BJ37" s="315">
        <v>503</v>
      </c>
      <c r="BK37" s="315">
        <v>585</v>
      </c>
      <c r="BL37" s="315">
        <v>1250</v>
      </c>
      <c r="BM37" s="315">
        <v>1748</v>
      </c>
      <c r="BN37" s="315">
        <v>2272</v>
      </c>
      <c r="BO37" s="315">
        <v>2719</v>
      </c>
      <c r="BP37" s="316">
        <v>1819</v>
      </c>
      <c r="BQ37" s="306">
        <v>40896</v>
      </c>
    </row>
    <row customHeight="true" ht="13" r="38">
      <c r="A38" s="304"/>
      <c r="M38">
        <f t="shared" si="6"/>
      </c>
      <c r="N38">
        <f t="shared" si="0"/>
      </c>
      <c r="O38">
        <f t="shared" si="1"/>
      </c>
      <c r="P38">
        <f t="shared" si="2"/>
      </c>
      <c r="Q38" s="310">
        <v>37</v>
      </c>
      <c r="R38" s="310" t="s">
        <v>716</v>
      </c>
      <c r="S38" s="312">
        <v>726</v>
      </c>
      <c r="T38" s="312">
        <v>873</v>
      </c>
      <c r="U38" s="312">
        <v>786</v>
      </c>
      <c r="V38" s="312">
        <v>437</v>
      </c>
      <c r="W38" s="312">
        <v>462</v>
      </c>
      <c r="X38" s="312">
        <v>383</v>
      </c>
      <c r="Y38" s="312">
        <v>336</v>
      </c>
      <c r="Z38" s="312">
        <v>371</v>
      </c>
      <c r="AA38" s="312">
        <v>549</v>
      </c>
      <c r="AB38" s="312">
        <v>850</v>
      </c>
      <c r="AC38" s="312">
        <v>1449</v>
      </c>
      <c r="AD38" s="312">
        <v>2038</v>
      </c>
      <c r="AE38" s="312">
        <v>1498</v>
      </c>
      <c r="AF38" s="312">
        <v>2077</v>
      </c>
      <c r="AG38" s="312">
        <v>1116</v>
      </c>
      <c r="AH38" s="312">
        <v>933</v>
      </c>
      <c r="AI38" s="312">
        <v>830</v>
      </c>
      <c r="AJ38" s="312">
        <v>626</v>
      </c>
      <c r="AK38" s="312">
        <v>502</v>
      </c>
      <c r="AL38" s="313">
        <v>466</v>
      </c>
      <c r="AM38" s="313">
        <v>659</v>
      </c>
      <c r="AN38" s="313">
        <v>1114</v>
      </c>
      <c r="AO38" s="313">
        <v>1539</v>
      </c>
      <c r="AP38" s="313">
        <v>2127</v>
      </c>
      <c r="AQ38" s="314">
        <v>1967</v>
      </c>
      <c r="AR38" s="315">
        <v>1745</v>
      </c>
      <c r="AS38" s="315">
        <v>1108</v>
      </c>
      <c r="AT38" s="315">
        <v>972</v>
      </c>
      <c r="AU38" s="315">
        <v>935</v>
      </c>
      <c r="AV38" s="315">
        <v>807</v>
      </c>
      <c r="AW38" s="315">
        <v>570</v>
      </c>
      <c r="AX38" s="315">
        <v>486</v>
      </c>
      <c r="AY38" s="315">
        <v>618</v>
      </c>
      <c r="AZ38" s="315">
        <v>1192</v>
      </c>
      <c r="BA38" s="315">
        <v>1874</v>
      </c>
      <c r="BB38" s="315">
        <v>2362</v>
      </c>
      <c r="BC38" s="315">
        <v>2226</v>
      </c>
      <c r="BD38" s="315">
        <v>1958</v>
      </c>
      <c r="BE38" s="315">
        <v>1399</v>
      </c>
      <c r="BF38" s="315">
        <v>1079</v>
      </c>
      <c r="BG38" s="315">
        <v>977</v>
      </c>
      <c r="BH38" s="315">
        <v>856</v>
      </c>
      <c r="BI38" s="315">
        <v>624</v>
      </c>
      <c r="BJ38" s="315">
        <v>498</v>
      </c>
      <c r="BK38" s="315">
        <v>572</v>
      </c>
      <c r="BL38" s="315">
        <v>1230</v>
      </c>
      <c r="BM38" s="315">
        <v>1603</v>
      </c>
      <c r="BN38" s="315">
        <v>2203</v>
      </c>
      <c r="BO38" s="315">
        <v>2615</v>
      </c>
      <c r="BP38" s="316">
        <v>1817</v>
      </c>
      <c r="BQ38" s="306">
        <v>40198</v>
      </c>
    </row>
    <row customHeight="true" ht="13" r="39">
      <c r="A39" s="304"/>
      <c r="M39">
        <f t="shared" si="6"/>
      </c>
      <c r="N39">
        <f t="shared" si="0"/>
      </c>
      <c r="O39">
        <f t="shared" si="1"/>
      </c>
      <c r="P39">
        <f t="shared" si="2"/>
      </c>
      <c r="Q39" s="310">
        <v>38</v>
      </c>
      <c r="R39" s="310" t="s">
        <v>716</v>
      </c>
      <c r="S39" s="312">
        <v>706</v>
      </c>
      <c r="T39" s="312">
        <v>860</v>
      </c>
      <c r="U39" s="312">
        <v>783</v>
      </c>
      <c r="V39" s="312">
        <v>420</v>
      </c>
      <c r="W39" s="312">
        <v>444</v>
      </c>
      <c r="X39" s="312">
        <v>372</v>
      </c>
      <c r="Y39" s="312">
        <v>336</v>
      </c>
      <c r="Z39" s="312">
        <v>366</v>
      </c>
      <c r="AA39" s="312">
        <v>541</v>
      </c>
      <c r="AB39" s="312">
        <v>834</v>
      </c>
      <c r="AC39" s="312">
        <v>1445</v>
      </c>
      <c r="AD39" s="312">
        <v>1990</v>
      </c>
      <c r="AE39" s="312">
        <v>1488</v>
      </c>
      <c r="AF39" s="312">
        <v>1990</v>
      </c>
      <c r="AG39" s="312">
        <v>1099</v>
      </c>
      <c r="AH39" s="312">
        <v>894</v>
      </c>
      <c r="AI39" s="312">
        <v>821</v>
      </c>
      <c r="AJ39" s="312">
        <v>619</v>
      </c>
      <c r="AK39" s="312">
        <v>485</v>
      </c>
      <c r="AL39" s="313">
        <v>452</v>
      </c>
      <c r="AM39" s="313">
        <v>652</v>
      </c>
      <c r="AN39" s="313">
        <v>1106</v>
      </c>
      <c r="AO39" s="313">
        <v>1532</v>
      </c>
      <c r="AP39" s="313">
        <v>2115</v>
      </c>
      <c r="AQ39" s="314">
        <v>1946</v>
      </c>
      <c r="AR39" s="315">
        <v>1685</v>
      </c>
      <c r="AS39" s="315">
        <v>1085</v>
      </c>
      <c r="AT39" s="315">
        <v>924</v>
      </c>
      <c r="AU39" s="315">
        <v>897</v>
      </c>
      <c r="AV39" s="315">
        <v>790</v>
      </c>
      <c r="AW39" s="315">
        <v>556</v>
      </c>
      <c r="AX39" s="315">
        <v>478</v>
      </c>
      <c r="AY39" s="315">
        <v>612</v>
      </c>
      <c r="AZ39" s="315">
        <v>1187</v>
      </c>
      <c r="BA39" s="315">
        <v>1809</v>
      </c>
      <c r="BB39" s="315">
        <v>2314</v>
      </c>
      <c r="BC39" s="315">
        <v>2220</v>
      </c>
      <c r="BD39" s="315">
        <v>1951</v>
      </c>
      <c r="BE39" s="315">
        <v>1399</v>
      </c>
      <c r="BF39" s="315">
        <v>1059</v>
      </c>
      <c r="BG39" s="315">
        <v>976</v>
      </c>
      <c r="BH39" s="315">
        <v>844</v>
      </c>
      <c r="BI39" s="315">
        <v>620</v>
      </c>
      <c r="BJ39" s="315">
        <v>482</v>
      </c>
      <c r="BK39" s="315">
        <v>556</v>
      </c>
      <c r="BL39" s="315">
        <v>1214</v>
      </c>
      <c r="BM39" s="315">
        <v>1538</v>
      </c>
      <c r="BN39" s="315">
        <v>2184</v>
      </c>
      <c r="BO39" s="315">
        <v>2513</v>
      </c>
      <c r="BP39" s="316">
        <v>1796</v>
      </c>
      <c r="BQ39" s="306">
        <v>39492</v>
      </c>
    </row>
    <row customHeight="true" ht="13" r="40">
      <c r="A40" s="304"/>
      <c r="M40">
        <f t="shared" si="6"/>
      </c>
      <c r="N40">
        <f t="shared" si="0"/>
      </c>
      <c r="O40">
        <f t="shared" si="1"/>
      </c>
      <c r="P40">
        <f t="shared" si="2"/>
      </c>
      <c r="Q40" s="310">
        <v>39</v>
      </c>
      <c r="R40" s="310" t="s">
        <v>717</v>
      </c>
      <c r="S40" s="312">
        <v>695</v>
      </c>
      <c r="T40" s="312">
        <v>854</v>
      </c>
      <c r="U40" s="312">
        <v>771</v>
      </c>
      <c r="V40" s="312">
        <v>404</v>
      </c>
      <c r="W40" s="312">
        <v>442</v>
      </c>
      <c r="X40" s="312">
        <v>369</v>
      </c>
      <c r="Y40" s="312">
        <v>335</v>
      </c>
      <c r="Z40" s="312">
        <v>351</v>
      </c>
      <c r="AA40" s="312">
        <v>528</v>
      </c>
      <c r="AB40" s="312">
        <v>820</v>
      </c>
      <c r="AC40" s="312">
        <v>1401</v>
      </c>
      <c r="AD40" s="312">
        <v>1989</v>
      </c>
      <c r="AE40" s="312">
        <v>1456</v>
      </c>
      <c r="AF40" s="312">
        <v>1981</v>
      </c>
      <c r="AG40" s="312">
        <v>1098</v>
      </c>
      <c r="AH40" s="312">
        <v>862</v>
      </c>
      <c r="AI40" s="312">
        <v>759</v>
      </c>
      <c r="AJ40" s="312">
        <v>592</v>
      </c>
      <c r="AK40" s="312">
        <v>449</v>
      </c>
      <c r="AL40" s="313">
        <v>427</v>
      </c>
      <c r="AM40" s="313">
        <v>636</v>
      </c>
      <c r="AN40" s="313">
        <v>1063</v>
      </c>
      <c r="AO40" s="313">
        <v>1514</v>
      </c>
      <c r="AP40" s="313">
        <v>2093</v>
      </c>
      <c r="AQ40" s="314">
        <v>1938</v>
      </c>
      <c r="AR40" s="315">
        <v>1660</v>
      </c>
      <c r="AS40" s="315">
        <v>1060</v>
      </c>
      <c r="AT40" s="315">
        <v>881</v>
      </c>
      <c r="AU40" s="315">
        <v>896</v>
      </c>
      <c r="AV40" s="315">
        <v>715</v>
      </c>
      <c r="AW40" s="315">
        <v>546</v>
      </c>
      <c r="AX40" s="315">
        <v>462</v>
      </c>
      <c r="AY40" s="315">
        <v>592</v>
      </c>
      <c r="AZ40" s="315">
        <v>1157</v>
      </c>
      <c r="BA40" s="315">
        <v>1808</v>
      </c>
      <c r="BB40" s="315">
        <v>2210</v>
      </c>
      <c r="BC40" s="315">
        <v>2158</v>
      </c>
      <c r="BD40" s="315">
        <v>1885</v>
      </c>
      <c r="BE40" s="315">
        <v>1381</v>
      </c>
      <c r="BF40" s="315">
        <v>1054</v>
      </c>
      <c r="BG40" s="315">
        <v>954</v>
      </c>
      <c r="BH40" s="315">
        <v>820</v>
      </c>
      <c r="BI40" s="315">
        <v>619</v>
      </c>
      <c r="BJ40" s="315">
        <v>473</v>
      </c>
      <c r="BK40" s="315">
        <v>552</v>
      </c>
      <c r="BL40" s="315">
        <v>1210</v>
      </c>
      <c r="BM40" s="315">
        <v>1536</v>
      </c>
      <c r="BN40" s="315">
        <v>2126</v>
      </c>
      <c r="BO40" s="315">
        <v>2477</v>
      </c>
      <c r="BP40" s="316">
        <v>1778</v>
      </c>
      <c r="BQ40" s="306">
        <v>38681</v>
      </c>
    </row>
    <row customHeight="true" ht="13" r="41">
      <c r="A41" s="304"/>
      <c r="M41">
        <f t="shared" si="6"/>
      </c>
      <c r="N41">
        <f t="shared" si="0"/>
      </c>
      <c r="O41">
        <f t="shared" si="1"/>
      </c>
      <c r="P41">
        <f t="shared" si="2"/>
      </c>
      <c r="Q41" s="310">
        <v>40</v>
      </c>
      <c r="R41" s="310" t="s">
        <v>717</v>
      </c>
      <c r="S41" s="312">
        <v>669</v>
      </c>
      <c r="T41" s="312">
        <v>850</v>
      </c>
      <c r="U41" s="312">
        <v>770</v>
      </c>
      <c r="V41" s="312">
        <v>388</v>
      </c>
      <c r="W41" s="312">
        <v>433</v>
      </c>
      <c r="X41" s="312">
        <v>368</v>
      </c>
      <c r="Y41" s="312">
        <v>332</v>
      </c>
      <c r="Z41" s="312">
        <v>330</v>
      </c>
      <c r="AA41" s="312">
        <v>518</v>
      </c>
      <c r="AB41" s="312">
        <v>717</v>
      </c>
      <c r="AC41" s="312">
        <v>1392</v>
      </c>
      <c r="AD41" s="312">
        <v>1973</v>
      </c>
      <c r="AE41" s="312">
        <v>1443</v>
      </c>
      <c r="AF41" s="312">
        <v>1917</v>
      </c>
      <c r="AG41" s="312">
        <v>1087</v>
      </c>
      <c r="AH41" s="312">
        <v>838</v>
      </c>
      <c r="AI41" s="312">
        <v>751</v>
      </c>
      <c r="AJ41" s="312">
        <v>581</v>
      </c>
      <c r="AK41" s="312">
        <v>438</v>
      </c>
      <c r="AL41" s="313">
        <v>414</v>
      </c>
      <c r="AM41" s="313">
        <v>631</v>
      </c>
      <c r="AN41" s="313">
        <v>1044</v>
      </c>
      <c r="AO41" s="313">
        <v>1498</v>
      </c>
      <c r="AP41" s="313">
        <v>1907</v>
      </c>
      <c r="AQ41" s="314">
        <v>1920</v>
      </c>
      <c r="AR41" s="315">
        <v>1606</v>
      </c>
      <c r="AS41" s="315">
        <v>1038</v>
      </c>
      <c r="AT41" s="315">
        <v>868</v>
      </c>
      <c r="AU41" s="315">
        <v>892</v>
      </c>
      <c r="AV41" s="315">
        <v>714</v>
      </c>
      <c r="AW41" s="315">
        <v>504</v>
      </c>
      <c r="AX41" s="315">
        <v>460</v>
      </c>
      <c r="AY41" s="315">
        <v>568</v>
      </c>
      <c r="AZ41" s="315">
        <v>1128</v>
      </c>
      <c r="BA41" s="315">
        <v>1780</v>
      </c>
      <c r="BB41" s="315">
        <v>2182</v>
      </c>
      <c r="BC41" s="315">
        <v>2121</v>
      </c>
      <c r="BD41" s="315">
        <v>1879</v>
      </c>
      <c r="BE41" s="315">
        <v>1335</v>
      </c>
      <c r="BF41" s="315">
        <v>1053</v>
      </c>
      <c r="BG41" s="315">
        <v>945</v>
      </c>
      <c r="BH41" s="315">
        <v>794</v>
      </c>
      <c r="BI41" s="315">
        <v>613</v>
      </c>
      <c r="BJ41" s="315">
        <v>467</v>
      </c>
      <c r="BK41" s="315">
        <v>547</v>
      </c>
      <c r="BL41" s="315">
        <v>1195</v>
      </c>
      <c r="BM41" s="315">
        <v>1534</v>
      </c>
      <c r="BN41" s="315">
        <v>2125</v>
      </c>
      <c r="BO41" s="315">
        <v>2423</v>
      </c>
      <c r="BP41" s="316">
        <v>1671</v>
      </c>
      <c r="BQ41" s="306">
        <v>37856</v>
      </c>
    </row>
    <row customHeight="true" ht="13" r="42">
      <c r="A42" s="304"/>
      <c r="M42">
        <f t="shared" si="6"/>
      </c>
      <c r="N42">
        <f t="shared" si="0"/>
      </c>
      <c r="O42">
        <f t="shared" si="1"/>
      </c>
      <c r="P42">
        <f t="shared" si="2"/>
      </c>
      <c r="Q42" s="310">
        <v>41</v>
      </c>
      <c r="R42" s="310" t="s">
        <v>717</v>
      </c>
      <c r="S42" s="312">
        <v>652</v>
      </c>
      <c r="T42" s="312">
        <v>839</v>
      </c>
      <c r="U42" s="312">
        <v>746</v>
      </c>
      <c r="V42" s="312">
        <v>379</v>
      </c>
      <c r="W42" s="312">
        <v>426</v>
      </c>
      <c r="X42" s="312">
        <v>365</v>
      </c>
      <c r="Y42" s="312">
        <v>317</v>
      </c>
      <c r="Z42" s="312">
        <v>324</v>
      </c>
      <c r="AA42" s="312">
        <v>495</v>
      </c>
      <c r="AB42" s="312">
        <v>699</v>
      </c>
      <c r="AC42" s="312">
        <v>1326</v>
      </c>
      <c r="AD42" s="312">
        <v>1932</v>
      </c>
      <c r="AE42" s="312">
        <v>1430</v>
      </c>
      <c r="AF42" s="312">
        <v>1879</v>
      </c>
      <c r="AG42" s="312">
        <v>1077</v>
      </c>
      <c r="AH42" s="312">
        <v>827</v>
      </c>
      <c r="AI42" s="312">
        <v>730</v>
      </c>
      <c r="AJ42" s="312">
        <v>563</v>
      </c>
      <c r="AK42" s="312">
        <v>432</v>
      </c>
      <c r="AL42" s="313">
        <v>401</v>
      </c>
      <c r="AM42" s="313">
        <v>627</v>
      </c>
      <c r="AN42" s="313">
        <v>1044</v>
      </c>
      <c r="AO42" s="313">
        <v>1479</v>
      </c>
      <c r="AP42" s="313">
        <v>1900</v>
      </c>
      <c r="AQ42" s="314">
        <v>1860</v>
      </c>
      <c r="AR42" s="315">
        <v>1590</v>
      </c>
      <c r="AS42" s="315">
        <v>1038</v>
      </c>
      <c r="AT42" s="315">
        <v>837</v>
      </c>
      <c r="AU42" s="315">
        <v>870</v>
      </c>
      <c r="AV42" s="315">
        <v>697</v>
      </c>
      <c r="AW42" s="315">
        <v>498</v>
      </c>
      <c r="AX42" s="315">
        <v>453</v>
      </c>
      <c r="AY42" s="315">
        <v>538</v>
      </c>
      <c r="AZ42" s="315">
        <v>1104</v>
      </c>
      <c r="BA42" s="315">
        <v>1732</v>
      </c>
      <c r="BB42" s="315">
        <v>2180</v>
      </c>
      <c r="BC42" s="315">
        <v>2104</v>
      </c>
      <c r="BD42" s="315">
        <v>1877</v>
      </c>
      <c r="BE42" s="315">
        <v>1325</v>
      </c>
      <c r="BF42" s="315">
        <v>1048</v>
      </c>
      <c r="BG42" s="315">
        <v>935</v>
      </c>
      <c r="BH42" s="315">
        <v>790</v>
      </c>
      <c r="BI42" s="315">
        <v>574</v>
      </c>
      <c r="BJ42" s="315">
        <v>459</v>
      </c>
      <c r="BK42" s="315">
        <v>533</v>
      </c>
      <c r="BL42" s="315">
        <v>1177</v>
      </c>
      <c r="BM42" s="315">
        <v>1516</v>
      </c>
      <c r="BN42" s="315">
        <v>2102</v>
      </c>
      <c r="BO42" s="315">
        <v>2418</v>
      </c>
      <c r="BP42" s="316">
        <v>1641</v>
      </c>
      <c r="BQ42" s="306">
        <v>37347</v>
      </c>
    </row>
    <row customHeight="true" ht="13" r="43">
      <c r="A43" s="304"/>
      <c r="M43">
        <f t="shared" si="6"/>
      </c>
      <c r="N43">
        <f t="shared" si="0"/>
      </c>
      <c r="O43">
        <f t="shared" si="1"/>
      </c>
      <c r="P43">
        <f t="shared" si="2"/>
      </c>
      <c r="Q43" s="310">
        <v>42</v>
      </c>
      <c r="R43" s="310" t="s">
        <v>717</v>
      </c>
      <c r="S43" s="312">
        <v>628</v>
      </c>
      <c r="T43" s="312">
        <v>809</v>
      </c>
      <c r="U43" s="312">
        <v>713</v>
      </c>
      <c r="V43" s="312">
        <v>351</v>
      </c>
      <c r="W43" s="312">
        <v>418</v>
      </c>
      <c r="X43" s="312">
        <v>344</v>
      </c>
      <c r="Y43" s="312">
        <v>303</v>
      </c>
      <c r="Z43" s="312">
        <v>320</v>
      </c>
      <c r="AA43" s="312">
        <v>491</v>
      </c>
      <c r="AB43" s="312">
        <v>695</v>
      </c>
      <c r="AC43" s="312">
        <v>1301</v>
      </c>
      <c r="AD43" s="312">
        <v>1824</v>
      </c>
      <c r="AE43" s="312">
        <v>1426</v>
      </c>
      <c r="AF43" s="312">
        <v>1853</v>
      </c>
      <c r="AG43" s="312">
        <v>1008</v>
      </c>
      <c r="AH43" s="312">
        <v>805</v>
      </c>
      <c r="AI43" s="312">
        <v>725</v>
      </c>
      <c r="AJ43" s="312">
        <v>556</v>
      </c>
      <c r="AK43" s="312">
        <v>431</v>
      </c>
      <c r="AL43" s="313">
        <v>397</v>
      </c>
      <c r="AM43" s="313">
        <v>606</v>
      </c>
      <c r="AN43" s="313">
        <v>1002</v>
      </c>
      <c r="AO43" s="313">
        <v>1447</v>
      </c>
      <c r="AP43" s="313">
        <v>1849</v>
      </c>
      <c r="AQ43" s="314">
        <v>1859</v>
      </c>
      <c r="AR43" s="315">
        <v>1538</v>
      </c>
      <c r="AS43" s="315">
        <v>1035</v>
      </c>
      <c r="AT43" s="315">
        <v>836</v>
      </c>
      <c r="AU43" s="315">
        <v>819</v>
      </c>
      <c r="AV43" s="315">
        <v>691</v>
      </c>
      <c r="AW43" s="315">
        <v>498</v>
      </c>
      <c r="AX43" s="315">
        <v>452</v>
      </c>
      <c r="AY43" s="315">
        <v>531</v>
      </c>
      <c r="AZ43" s="315">
        <v>1067</v>
      </c>
      <c r="BA43" s="315">
        <v>1675</v>
      </c>
      <c r="BB43" s="315">
        <v>2155</v>
      </c>
      <c r="BC43" s="315">
        <v>1972</v>
      </c>
      <c r="BD43" s="315">
        <v>1875</v>
      </c>
      <c r="BE43" s="315">
        <v>1300</v>
      </c>
      <c r="BF43" s="315">
        <v>997</v>
      </c>
      <c r="BG43" s="315">
        <v>920</v>
      </c>
      <c r="BH43" s="315">
        <v>790</v>
      </c>
      <c r="BI43" s="315">
        <v>571</v>
      </c>
      <c r="BJ43" s="315">
        <v>457</v>
      </c>
      <c r="BK43" s="315">
        <v>526</v>
      </c>
      <c r="BL43" s="315">
        <v>1176</v>
      </c>
      <c r="BM43" s="315">
        <v>1512</v>
      </c>
      <c r="BN43" s="315">
        <v>2100</v>
      </c>
      <c r="BO43" s="315">
        <v>2412</v>
      </c>
      <c r="BP43" s="316">
        <v>1569</v>
      </c>
      <c r="BQ43" s="306">
        <v>36634</v>
      </c>
    </row>
    <row customHeight="true" ht="13" r="44">
      <c r="A44" s="304"/>
      <c r="M44">
        <f t="shared" si="6"/>
      </c>
      <c r="N44">
        <f t="shared" si="0"/>
      </c>
      <c r="O44">
        <f t="shared" si="1"/>
      </c>
      <c r="P44">
        <f t="shared" si="2"/>
      </c>
      <c r="Q44" s="310">
        <v>43</v>
      </c>
      <c r="R44" s="310" t="s">
        <v>717</v>
      </c>
      <c r="S44" s="312">
        <v>616</v>
      </c>
      <c r="T44" s="312">
        <v>804</v>
      </c>
      <c r="U44" s="312">
        <v>687</v>
      </c>
      <c r="V44" s="312">
        <v>343</v>
      </c>
      <c r="W44" s="312">
        <v>401</v>
      </c>
      <c r="X44" s="312">
        <v>331</v>
      </c>
      <c r="Y44" s="312">
        <v>294</v>
      </c>
      <c r="Z44" s="312">
        <v>319</v>
      </c>
      <c r="AA44" s="312">
        <v>487</v>
      </c>
      <c r="AB44" s="312">
        <v>686</v>
      </c>
      <c r="AC44" s="312">
        <v>1297</v>
      </c>
      <c r="AD44" s="312">
        <v>1808</v>
      </c>
      <c r="AE44" s="312">
        <v>1425</v>
      </c>
      <c r="AF44" s="312">
        <v>1816</v>
      </c>
      <c r="AG44" s="312">
        <v>1003</v>
      </c>
      <c r="AH44" s="312">
        <v>801</v>
      </c>
      <c r="AI44" s="312">
        <v>698</v>
      </c>
      <c r="AJ44" s="312">
        <v>555</v>
      </c>
      <c r="AK44" s="312">
        <v>427</v>
      </c>
      <c r="AL44" s="313">
        <v>378</v>
      </c>
      <c r="AM44" s="313">
        <v>599</v>
      </c>
      <c r="AN44" s="313">
        <v>925</v>
      </c>
      <c r="AO44" s="313">
        <v>1422</v>
      </c>
      <c r="AP44" s="313">
        <v>1849</v>
      </c>
      <c r="AQ44" s="314">
        <v>1800</v>
      </c>
      <c r="AR44" s="315">
        <v>1498</v>
      </c>
      <c r="AS44" s="315">
        <v>1016</v>
      </c>
      <c r="AT44" s="315">
        <v>810</v>
      </c>
      <c r="AU44" s="315">
        <v>812</v>
      </c>
      <c r="AV44" s="315">
        <v>690</v>
      </c>
      <c r="AW44" s="315">
        <v>490</v>
      </c>
      <c r="AX44" s="315">
        <v>447</v>
      </c>
      <c r="AY44" s="315">
        <v>478</v>
      </c>
      <c r="AZ44" s="315">
        <v>1054</v>
      </c>
      <c r="BA44" s="315">
        <v>1648</v>
      </c>
      <c r="BB44" s="315">
        <v>2145</v>
      </c>
      <c r="BC44" s="315">
        <v>1955</v>
      </c>
      <c r="BD44" s="315">
        <v>1875</v>
      </c>
      <c r="BE44" s="315">
        <v>1294</v>
      </c>
      <c r="BF44" s="315">
        <v>985</v>
      </c>
      <c r="BG44" s="315">
        <v>848</v>
      </c>
      <c r="BH44" s="315">
        <v>786</v>
      </c>
      <c r="BI44" s="315">
        <v>563</v>
      </c>
      <c r="BJ44" s="315">
        <v>432</v>
      </c>
      <c r="BK44" s="315">
        <v>522</v>
      </c>
      <c r="BL44" s="315">
        <v>1128</v>
      </c>
      <c r="BM44" s="315">
        <v>1468</v>
      </c>
      <c r="BN44" s="315">
        <v>2098</v>
      </c>
      <c r="BO44" s="315">
        <v>2400</v>
      </c>
      <c r="BP44" s="316">
        <v>1520</v>
      </c>
      <c r="BQ44" s="306">
        <v>35935</v>
      </c>
    </row>
    <row customHeight="true" ht="13" r="45">
      <c r="A45" s="304"/>
      <c r="M45">
        <f t="shared" si="6"/>
      </c>
      <c r="N45">
        <f t="shared" si="0"/>
      </c>
      <c r="O45">
        <f t="shared" si="1"/>
      </c>
      <c r="P45">
        <f t="shared" si="2"/>
      </c>
      <c r="Q45" s="310">
        <v>44</v>
      </c>
      <c r="R45" s="310" t="s">
        <v>717</v>
      </c>
      <c r="S45" s="312">
        <v>600</v>
      </c>
      <c r="T45" s="312">
        <v>767</v>
      </c>
      <c r="U45" s="312">
        <v>679</v>
      </c>
      <c r="V45" s="312">
        <v>330</v>
      </c>
      <c r="W45" s="312">
        <v>396</v>
      </c>
      <c r="X45" s="312">
        <v>330</v>
      </c>
      <c r="Y45" s="312">
        <v>291</v>
      </c>
      <c r="Z45" s="312">
        <v>313</v>
      </c>
      <c r="AA45" s="312">
        <v>468</v>
      </c>
      <c r="AB45" s="312">
        <v>680</v>
      </c>
      <c r="AC45" s="312">
        <v>1260</v>
      </c>
      <c r="AD45" s="312">
        <v>1804</v>
      </c>
      <c r="AE45" s="312">
        <v>1305</v>
      </c>
      <c r="AF45" s="312">
        <v>1735</v>
      </c>
      <c r="AG45" s="312">
        <v>985</v>
      </c>
      <c r="AH45" s="312">
        <v>797</v>
      </c>
      <c r="AI45" s="312">
        <v>692</v>
      </c>
      <c r="AJ45" s="312">
        <v>554</v>
      </c>
      <c r="AK45" s="312">
        <v>426</v>
      </c>
      <c r="AL45" s="313">
        <v>373</v>
      </c>
      <c r="AM45" s="313">
        <v>585</v>
      </c>
      <c r="AN45" s="313">
        <v>912</v>
      </c>
      <c r="AO45" s="313">
        <v>1393</v>
      </c>
      <c r="AP45" s="313">
        <v>1838</v>
      </c>
      <c r="AQ45" s="314">
        <v>1798</v>
      </c>
      <c r="AR45" s="315">
        <v>1486</v>
      </c>
      <c r="AS45" s="315">
        <v>1013</v>
      </c>
      <c r="AT45" s="315">
        <v>793</v>
      </c>
      <c r="AU45" s="315">
        <v>750</v>
      </c>
      <c r="AV45" s="315">
        <v>674</v>
      </c>
      <c r="AW45" s="315">
        <v>490</v>
      </c>
      <c r="AX45" s="315">
        <v>440</v>
      </c>
      <c r="AY45" s="315">
        <v>477</v>
      </c>
      <c r="AZ45" s="315">
        <v>1049</v>
      </c>
      <c r="BA45" s="315">
        <v>1582</v>
      </c>
      <c r="BB45" s="315">
        <v>2131</v>
      </c>
      <c r="BC45" s="315">
        <v>1949</v>
      </c>
      <c r="BD45" s="315">
        <v>1844</v>
      </c>
      <c r="BE45" s="315">
        <v>1265</v>
      </c>
      <c r="BF45" s="315">
        <v>968</v>
      </c>
      <c r="BG45" s="315">
        <v>823</v>
      </c>
      <c r="BH45" s="315">
        <v>783</v>
      </c>
      <c r="BI45" s="315">
        <v>559</v>
      </c>
      <c r="BJ45" s="315">
        <v>432</v>
      </c>
      <c r="BK45" s="315">
        <v>499</v>
      </c>
      <c r="BL45" s="315">
        <v>1085</v>
      </c>
      <c r="BM45" s="315">
        <v>1459</v>
      </c>
      <c r="BN45" s="315">
        <v>1988</v>
      </c>
      <c r="BO45" s="315">
        <v>2242</v>
      </c>
      <c r="BP45" s="316">
        <v>1519</v>
      </c>
      <c r="BQ45" s="306">
        <v>35199</v>
      </c>
    </row>
    <row customHeight="true" ht="13" r="46">
      <c r="A46" s="304"/>
      <c r="M46">
        <f t="shared" si="6"/>
      </c>
      <c r="N46">
        <f t="shared" si="0"/>
      </c>
      <c r="O46">
        <f t="shared" si="1"/>
      </c>
      <c r="P46">
        <f t="shared" si="2"/>
      </c>
      <c r="Q46" s="310">
        <v>45</v>
      </c>
      <c r="R46" s="310" t="s">
        <v>717</v>
      </c>
      <c r="S46" s="312">
        <v>593</v>
      </c>
      <c r="T46" s="312">
        <v>759</v>
      </c>
      <c r="U46" s="312">
        <v>671</v>
      </c>
      <c r="V46" s="312">
        <v>324</v>
      </c>
      <c r="W46" s="312">
        <v>390</v>
      </c>
      <c r="X46" s="312">
        <v>314</v>
      </c>
      <c r="Y46" s="312">
        <v>291</v>
      </c>
      <c r="Z46" s="312">
        <v>311</v>
      </c>
      <c r="AA46" s="312">
        <v>462</v>
      </c>
      <c r="AB46" s="312">
        <v>654</v>
      </c>
      <c r="AC46" s="312">
        <v>1235</v>
      </c>
      <c r="AD46" s="312">
        <v>1751</v>
      </c>
      <c r="AE46" s="312">
        <v>1200</v>
      </c>
      <c r="AF46" s="312">
        <v>1722</v>
      </c>
      <c r="AG46" s="312">
        <v>984</v>
      </c>
      <c r="AH46" s="312">
        <v>783</v>
      </c>
      <c r="AI46" s="312">
        <v>671</v>
      </c>
      <c r="AJ46" s="312">
        <v>527</v>
      </c>
      <c r="AK46" s="312">
        <v>422</v>
      </c>
      <c r="AL46" s="313">
        <v>371</v>
      </c>
      <c r="AM46" s="313">
        <v>573</v>
      </c>
      <c r="AN46" s="313">
        <v>888</v>
      </c>
      <c r="AO46" s="313">
        <v>1304</v>
      </c>
      <c r="AP46" s="313">
        <v>1720</v>
      </c>
      <c r="AQ46" s="314">
        <v>1798</v>
      </c>
      <c r="AR46" s="315">
        <v>1485</v>
      </c>
      <c r="AS46" s="315">
        <v>1006</v>
      </c>
      <c r="AT46" s="315">
        <v>765</v>
      </c>
      <c r="AU46" s="315">
        <v>746</v>
      </c>
      <c r="AV46" s="315">
        <v>673</v>
      </c>
      <c r="AW46" s="315">
        <v>482</v>
      </c>
      <c r="AX46" s="315">
        <v>430</v>
      </c>
      <c r="AY46" s="315">
        <v>471</v>
      </c>
      <c r="AZ46" s="315">
        <v>1046</v>
      </c>
      <c r="BA46" s="315">
        <v>1569</v>
      </c>
      <c r="BB46" s="315">
        <v>2063</v>
      </c>
      <c r="BC46" s="315">
        <v>1947</v>
      </c>
      <c r="BD46" s="315">
        <v>1842</v>
      </c>
      <c r="BE46" s="315">
        <v>1251</v>
      </c>
      <c r="BF46" s="315">
        <v>957</v>
      </c>
      <c r="BG46" s="315">
        <v>799</v>
      </c>
      <c r="BH46" s="315">
        <v>781</v>
      </c>
      <c r="BI46" s="315">
        <v>554</v>
      </c>
      <c r="BJ46" s="315">
        <v>431</v>
      </c>
      <c r="BK46" s="315">
        <v>498</v>
      </c>
      <c r="BL46" s="315">
        <v>1080</v>
      </c>
      <c r="BM46" s="315">
        <v>1448</v>
      </c>
      <c r="BN46" s="315">
        <v>1973</v>
      </c>
      <c r="BO46" s="315">
        <v>2241</v>
      </c>
      <c r="BP46" s="316">
        <v>1508</v>
      </c>
      <c r="BQ46" s="306">
        <v>34700</v>
      </c>
    </row>
    <row customHeight="true" ht="13" r="47">
      <c r="A47" s="304"/>
      <c r="L47" s="321" t="s">
        <v>718</v>
      </c>
      <c r="M47">
        <f t="shared" si="6"/>
      </c>
      <c r="N47">
        <f t="shared" si="0"/>
      </c>
      <c r="O47">
        <f t="shared" si="1"/>
      </c>
      <c r="P47">
        <f t="shared" si="2"/>
      </c>
      <c r="Q47" s="310">
        <v>46</v>
      </c>
      <c r="R47" s="310" t="s">
        <v>717</v>
      </c>
      <c r="S47" s="312">
        <v>581</v>
      </c>
      <c r="T47" s="312">
        <v>747</v>
      </c>
      <c r="U47" s="312">
        <v>667</v>
      </c>
      <c r="V47" s="312">
        <v>323</v>
      </c>
      <c r="W47" s="312">
        <v>379</v>
      </c>
      <c r="X47" s="312">
        <v>299</v>
      </c>
      <c r="Y47" s="312">
        <v>273</v>
      </c>
      <c r="Z47" s="312">
        <v>309</v>
      </c>
      <c r="AA47" s="312">
        <v>443</v>
      </c>
      <c r="AB47" s="312">
        <v>647</v>
      </c>
      <c r="AC47" s="312">
        <v>1162</v>
      </c>
      <c r="AD47" s="312">
        <v>1744</v>
      </c>
      <c r="AE47" s="312">
        <v>1194</v>
      </c>
      <c r="AF47" s="312">
        <v>1719</v>
      </c>
      <c r="AG47" s="312">
        <v>976</v>
      </c>
      <c r="AH47" s="312">
        <v>763</v>
      </c>
      <c r="AI47" s="312">
        <v>668</v>
      </c>
      <c r="AJ47" s="312">
        <v>523</v>
      </c>
      <c r="AK47" s="312">
        <v>386</v>
      </c>
      <c r="AL47" s="313">
        <v>370</v>
      </c>
      <c r="AM47" s="313">
        <v>572</v>
      </c>
      <c r="AN47" s="313">
        <v>863</v>
      </c>
      <c r="AO47" s="313">
        <v>1297</v>
      </c>
      <c r="AP47" s="313">
        <v>1708</v>
      </c>
      <c r="AQ47" s="314">
        <v>1791</v>
      </c>
      <c r="AR47" s="315">
        <v>1473</v>
      </c>
      <c r="AS47" s="315">
        <v>979</v>
      </c>
      <c r="AT47" s="315">
        <v>756</v>
      </c>
      <c r="AU47" s="315">
        <v>734</v>
      </c>
      <c r="AV47" s="315">
        <v>650</v>
      </c>
      <c r="AW47" s="315">
        <v>465</v>
      </c>
      <c r="AX47" s="315">
        <v>426</v>
      </c>
      <c r="AY47" s="315">
        <v>455</v>
      </c>
      <c r="AZ47" s="315">
        <v>1037</v>
      </c>
      <c r="BA47" s="315">
        <v>1560</v>
      </c>
      <c r="BB47" s="315">
        <v>2054</v>
      </c>
      <c r="BC47" s="315">
        <v>1925</v>
      </c>
      <c r="BD47" s="315">
        <v>1804</v>
      </c>
      <c r="BE47" s="315">
        <v>1177</v>
      </c>
      <c r="BF47" s="315">
        <v>947</v>
      </c>
      <c r="BG47" s="315">
        <v>784</v>
      </c>
      <c r="BH47" s="315">
        <v>779</v>
      </c>
      <c r="BI47" s="315">
        <v>539</v>
      </c>
      <c r="BJ47" s="315">
        <v>422</v>
      </c>
      <c r="BK47" s="315">
        <v>498</v>
      </c>
      <c r="BL47" s="315">
        <v>1079</v>
      </c>
      <c r="BM47" s="315">
        <v>1448</v>
      </c>
      <c r="BN47" s="315">
        <v>1934</v>
      </c>
      <c r="BO47" s="315">
        <v>2224</v>
      </c>
      <c r="BP47" s="316">
        <v>1483</v>
      </c>
      <c r="BQ47" s="306">
        <v>34233</v>
      </c>
    </row>
    <row customHeight="true" ht="13" r="48">
      <c r="A48" s="304"/>
      <c r="L48" s="321" t="s">
        <v>718</v>
      </c>
      <c r="M48">
        <f t="shared" si="6"/>
      </c>
      <c r="N48">
        <f t="shared" si="0"/>
      </c>
      <c r="O48">
        <f t="shared" si="1"/>
      </c>
      <c r="P48">
        <f t="shared" si="2"/>
      </c>
      <c r="Q48" s="310">
        <v>47</v>
      </c>
      <c r="R48" s="310" t="s">
        <v>717</v>
      </c>
      <c r="S48" s="312">
        <v>580</v>
      </c>
      <c r="T48" s="312">
        <v>677</v>
      </c>
      <c r="U48" s="312">
        <v>647</v>
      </c>
      <c r="V48" s="312">
        <v>317</v>
      </c>
      <c r="W48" s="312">
        <v>378</v>
      </c>
      <c r="X48" s="312">
        <v>298</v>
      </c>
      <c r="Y48" s="312">
        <v>273</v>
      </c>
      <c r="Z48" s="312">
        <v>305</v>
      </c>
      <c r="AA48" s="312">
        <v>439</v>
      </c>
      <c r="AB48" s="312">
        <v>641</v>
      </c>
      <c r="AC48" s="312">
        <v>1122</v>
      </c>
      <c r="AD48" s="312">
        <v>1683</v>
      </c>
      <c r="AE48" s="312">
        <v>1121</v>
      </c>
      <c r="AF48" s="312">
        <v>1691</v>
      </c>
      <c r="AG48" s="312">
        <v>943</v>
      </c>
      <c r="AH48" s="312">
        <v>751</v>
      </c>
      <c r="AI48" s="312">
        <v>653</v>
      </c>
      <c r="AJ48" s="312">
        <v>521</v>
      </c>
      <c r="AK48" s="312">
        <v>376</v>
      </c>
      <c r="AL48" s="313">
        <v>366</v>
      </c>
      <c r="AM48" s="313">
        <v>568</v>
      </c>
      <c r="AN48" s="313">
        <v>861</v>
      </c>
      <c r="AO48" s="313">
        <v>1279</v>
      </c>
      <c r="AP48" s="313">
        <v>1697</v>
      </c>
      <c r="AQ48" s="314">
        <v>1755</v>
      </c>
      <c r="AR48" s="315">
        <v>1447</v>
      </c>
      <c r="AS48" s="315">
        <v>954</v>
      </c>
      <c r="AT48" s="315">
        <v>755</v>
      </c>
      <c r="AU48" s="315">
        <v>719</v>
      </c>
      <c r="AV48" s="315">
        <v>641</v>
      </c>
      <c r="AW48" s="315">
        <v>455</v>
      </c>
      <c r="AX48" s="315">
        <v>415</v>
      </c>
      <c r="AY48" s="315">
        <v>449</v>
      </c>
      <c r="AZ48" s="315">
        <v>1035</v>
      </c>
      <c r="BA48" s="315">
        <v>1560</v>
      </c>
      <c r="BB48" s="315">
        <v>2012</v>
      </c>
      <c r="BC48" s="315">
        <v>1910</v>
      </c>
      <c r="BD48" s="315">
        <v>1791</v>
      </c>
      <c r="BE48" s="315">
        <v>1177</v>
      </c>
      <c r="BF48" s="315">
        <v>894</v>
      </c>
      <c r="BG48" s="315">
        <v>781</v>
      </c>
      <c r="BH48" s="315">
        <v>767</v>
      </c>
      <c r="BI48" s="315">
        <v>538</v>
      </c>
      <c r="BJ48" s="315">
        <v>421</v>
      </c>
      <c r="BK48" s="315">
        <v>481</v>
      </c>
      <c r="BL48" s="315">
        <v>1069</v>
      </c>
      <c r="BM48" s="315">
        <v>1435</v>
      </c>
      <c r="BN48" s="315">
        <v>1913</v>
      </c>
      <c r="BO48" s="315">
        <v>2210</v>
      </c>
      <c r="BP48" s="316">
        <v>1480</v>
      </c>
      <c r="BQ48" s="306">
        <v>33835</v>
      </c>
    </row>
    <row customHeight="true" ht="13" r="49">
      <c r="A49" s="304"/>
      <c r="L49" s="321" t="s">
        <v>718</v>
      </c>
      <c r="M49">
        <f t="shared" si="6"/>
      </c>
      <c r="N49">
        <f t="shared" si="0"/>
      </c>
      <c r="O49">
        <f t="shared" si="1"/>
      </c>
      <c r="P49">
        <f t="shared" si="2"/>
      </c>
      <c r="Q49" s="310">
        <v>48</v>
      </c>
      <c r="R49" s="310" t="s">
        <v>717</v>
      </c>
      <c r="S49" s="312">
        <v>548</v>
      </c>
      <c r="T49" s="312">
        <v>669</v>
      </c>
      <c r="U49" s="312">
        <v>637</v>
      </c>
      <c r="V49" s="312">
        <v>312</v>
      </c>
      <c r="W49" s="312">
        <v>353</v>
      </c>
      <c r="X49" s="312">
        <v>296</v>
      </c>
      <c r="Y49" s="312">
        <v>268</v>
      </c>
      <c r="Z49" s="312">
        <v>303</v>
      </c>
      <c r="AA49" s="312">
        <v>432</v>
      </c>
      <c r="AB49" s="312">
        <v>593</v>
      </c>
      <c r="AC49" s="312">
        <v>1120</v>
      </c>
      <c r="AD49" s="312">
        <v>1646</v>
      </c>
      <c r="AE49" s="312">
        <v>1116</v>
      </c>
      <c r="AF49" s="312">
        <v>1683</v>
      </c>
      <c r="AG49" s="312">
        <v>906</v>
      </c>
      <c r="AH49" s="312">
        <v>749</v>
      </c>
      <c r="AI49" s="312">
        <v>645</v>
      </c>
      <c r="AJ49" s="312">
        <v>521</v>
      </c>
      <c r="AK49" s="312">
        <v>365</v>
      </c>
      <c r="AL49" s="313">
        <v>363</v>
      </c>
      <c r="AM49" s="313">
        <v>558</v>
      </c>
      <c r="AN49" s="313">
        <v>839</v>
      </c>
      <c r="AO49" s="313">
        <v>1260</v>
      </c>
      <c r="AP49" s="313">
        <v>1665</v>
      </c>
      <c r="AQ49" s="314">
        <v>1725</v>
      </c>
      <c r="AR49" s="315">
        <v>1437</v>
      </c>
      <c r="AS49" s="315">
        <v>943</v>
      </c>
      <c r="AT49" s="315">
        <v>747</v>
      </c>
      <c r="AU49" s="315">
        <v>716</v>
      </c>
      <c r="AV49" s="315">
        <v>612</v>
      </c>
      <c r="AW49" s="315">
        <v>442</v>
      </c>
      <c r="AX49" s="315">
        <v>414</v>
      </c>
      <c r="AY49" s="315">
        <v>440</v>
      </c>
      <c r="AZ49" s="315">
        <v>1031</v>
      </c>
      <c r="BA49" s="315">
        <v>1558</v>
      </c>
      <c r="BB49" s="315">
        <v>2002</v>
      </c>
      <c r="BC49" s="315">
        <v>1867</v>
      </c>
      <c r="BD49" s="315">
        <v>1783</v>
      </c>
      <c r="BE49" s="315">
        <v>1177</v>
      </c>
      <c r="BF49" s="315">
        <v>851</v>
      </c>
      <c r="BG49" s="315">
        <v>768</v>
      </c>
      <c r="BH49" s="315">
        <v>738</v>
      </c>
      <c r="BI49" s="315">
        <v>528</v>
      </c>
      <c r="BJ49" s="315">
        <v>420</v>
      </c>
      <c r="BK49" s="315">
        <v>473</v>
      </c>
      <c r="BL49" s="315">
        <v>1056</v>
      </c>
      <c r="BM49" s="315">
        <v>1427</v>
      </c>
      <c r="BN49" s="315">
        <v>1890</v>
      </c>
      <c r="BO49" s="315">
        <v>2210</v>
      </c>
      <c r="BP49" s="316">
        <v>1479</v>
      </c>
      <c r="BQ49" s="306">
        <v>33419</v>
      </c>
    </row>
    <row customHeight="true" ht="13" r="50">
      <c r="A50" s="304"/>
      <c r="L50" s="321" t="s">
        <v>718</v>
      </c>
      <c r="M50">
        <f t="shared" si="6"/>
      </c>
      <c r="N50">
        <f t="shared" si="0"/>
      </c>
      <c r="O50">
        <f t="shared" si="1"/>
      </c>
      <c r="P50">
        <f t="shared" si="2"/>
      </c>
      <c r="Q50" s="310">
        <v>49</v>
      </c>
      <c r="R50" s="310" t="s">
        <v>719</v>
      </c>
      <c r="S50" s="312">
        <v>535</v>
      </c>
      <c r="T50" s="312">
        <v>609</v>
      </c>
      <c r="U50" s="312">
        <v>624</v>
      </c>
      <c r="V50" s="312">
        <v>295</v>
      </c>
      <c r="W50" s="312">
        <v>352</v>
      </c>
      <c r="X50" s="312">
        <v>289</v>
      </c>
      <c r="Y50" s="312">
        <v>267</v>
      </c>
      <c r="Z50" s="312">
        <v>303</v>
      </c>
      <c r="AA50" s="312">
        <v>416</v>
      </c>
      <c r="AB50" s="312">
        <v>587</v>
      </c>
      <c r="AC50" s="312">
        <v>1112</v>
      </c>
      <c r="AD50" s="312">
        <v>1536</v>
      </c>
      <c r="AE50" s="312">
        <v>1106</v>
      </c>
      <c r="AF50" s="312">
        <v>1665</v>
      </c>
      <c r="AG50" s="312">
        <v>860</v>
      </c>
      <c r="AH50" s="312">
        <v>744</v>
      </c>
      <c r="AI50" s="312">
        <v>636</v>
      </c>
      <c r="AJ50" s="312">
        <v>518</v>
      </c>
      <c r="AK50" s="312">
        <v>362</v>
      </c>
      <c r="AL50" s="313">
        <v>355</v>
      </c>
      <c r="AM50" s="313">
        <v>549</v>
      </c>
      <c r="AN50" s="313">
        <v>826</v>
      </c>
      <c r="AO50" s="313">
        <v>1166</v>
      </c>
      <c r="AP50" s="313">
        <v>1619</v>
      </c>
      <c r="AQ50" s="314">
        <v>1696</v>
      </c>
      <c r="AR50" s="315">
        <v>1421</v>
      </c>
      <c r="AS50" s="315">
        <v>927</v>
      </c>
      <c r="AT50" s="315">
        <v>733</v>
      </c>
      <c r="AU50" s="315">
        <v>704</v>
      </c>
      <c r="AV50" s="315">
        <v>604</v>
      </c>
      <c r="AW50" s="315">
        <v>441</v>
      </c>
      <c r="AX50" s="315">
        <v>386</v>
      </c>
      <c r="AY50" s="315">
        <v>434</v>
      </c>
      <c r="AZ50" s="315">
        <v>1024</v>
      </c>
      <c r="BA50" s="315">
        <v>1509</v>
      </c>
      <c r="BB50" s="315">
        <v>1956</v>
      </c>
      <c r="BC50" s="315">
        <v>1789</v>
      </c>
      <c r="BD50" s="315">
        <v>1708</v>
      </c>
      <c r="BE50" s="315">
        <v>1168</v>
      </c>
      <c r="BF50" s="315">
        <v>829</v>
      </c>
      <c r="BG50" s="315">
        <v>766</v>
      </c>
      <c r="BH50" s="315">
        <v>736</v>
      </c>
      <c r="BI50" s="315">
        <v>518</v>
      </c>
      <c r="BJ50" s="315">
        <v>411</v>
      </c>
      <c r="BK50" s="315">
        <v>471</v>
      </c>
      <c r="BL50" s="315">
        <v>1051</v>
      </c>
      <c r="BM50" s="315">
        <v>1416</v>
      </c>
      <c r="BN50" s="315">
        <v>1882</v>
      </c>
      <c r="BO50" s="315">
        <v>2174</v>
      </c>
      <c r="BP50" s="316">
        <v>1403</v>
      </c>
      <c r="BQ50" s="306">
        <v>32672</v>
      </c>
    </row>
    <row customHeight="true" ht="13" r="51">
      <c r="A51" s="304"/>
      <c r="L51" s="321" t="s">
        <v>718</v>
      </c>
      <c r="M51">
        <f t="shared" si="6"/>
      </c>
      <c r="N51">
        <f t="shared" si="0"/>
      </c>
      <c r="O51">
        <f t="shared" si="1"/>
      </c>
      <c r="P51">
        <f t="shared" si="2"/>
      </c>
      <c r="Q51" s="310">
        <v>50</v>
      </c>
      <c r="R51" s="310" t="s">
        <v>719</v>
      </c>
      <c r="S51" s="312">
        <v>535</v>
      </c>
      <c r="T51" s="312">
        <v>580</v>
      </c>
      <c r="U51" s="312">
        <v>623</v>
      </c>
      <c r="V51" s="312">
        <v>282</v>
      </c>
      <c r="W51" s="312">
        <v>346</v>
      </c>
      <c r="X51" s="312">
        <v>286</v>
      </c>
      <c r="Y51" s="312">
        <v>266</v>
      </c>
      <c r="Z51" s="312">
        <v>301</v>
      </c>
      <c r="AA51" s="312">
        <v>397</v>
      </c>
      <c r="AB51" s="312">
        <v>567</v>
      </c>
      <c r="AC51" s="312">
        <v>1086</v>
      </c>
      <c r="AD51" s="312">
        <v>1489</v>
      </c>
      <c r="AE51" s="312">
        <v>1095</v>
      </c>
      <c r="AF51" s="312">
        <v>1639</v>
      </c>
      <c r="AG51" s="312">
        <v>856</v>
      </c>
      <c r="AH51" s="312">
        <v>734</v>
      </c>
      <c r="AI51" s="312">
        <v>626</v>
      </c>
      <c r="AJ51" s="312">
        <v>515</v>
      </c>
      <c r="AK51" s="312">
        <v>357</v>
      </c>
      <c r="AL51" s="313">
        <v>354</v>
      </c>
      <c r="AM51" s="313">
        <v>549</v>
      </c>
      <c r="AN51" s="313">
        <v>795</v>
      </c>
      <c r="AO51" s="313">
        <v>1166</v>
      </c>
      <c r="AP51" s="313">
        <v>1618</v>
      </c>
      <c r="AQ51" s="314">
        <v>1635</v>
      </c>
      <c r="AR51" s="315">
        <v>1417</v>
      </c>
      <c r="AS51" s="315">
        <v>925</v>
      </c>
      <c r="AT51" s="315">
        <v>710</v>
      </c>
      <c r="AU51" s="315">
        <v>687</v>
      </c>
      <c r="AV51" s="315">
        <v>602</v>
      </c>
      <c r="AW51" s="315">
        <v>438</v>
      </c>
      <c r="AX51" s="315">
        <v>372</v>
      </c>
      <c r="AY51" s="315">
        <v>432</v>
      </c>
      <c r="AZ51" s="315">
        <v>992</v>
      </c>
      <c r="BA51" s="315">
        <v>1503</v>
      </c>
      <c r="BB51" s="315">
        <v>1946</v>
      </c>
      <c r="BC51" s="315">
        <v>1759</v>
      </c>
      <c r="BD51" s="315">
        <v>1689</v>
      </c>
      <c r="BE51" s="315">
        <v>1162</v>
      </c>
      <c r="BF51" s="315">
        <v>829</v>
      </c>
      <c r="BG51" s="315">
        <v>763</v>
      </c>
      <c r="BH51" s="315">
        <v>719</v>
      </c>
      <c r="BI51" s="315">
        <v>506</v>
      </c>
      <c r="BJ51" s="315">
        <v>411</v>
      </c>
      <c r="BK51" s="315">
        <v>446</v>
      </c>
      <c r="BL51" s="315">
        <v>1040</v>
      </c>
      <c r="BM51" s="315">
        <v>1406</v>
      </c>
      <c r="BN51" s="315">
        <v>1826</v>
      </c>
      <c r="BO51" s="315">
        <v>2121</v>
      </c>
      <c r="BP51" s="316">
        <v>1383</v>
      </c>
      <c r="BQ51" s="306">
        <v>32201</v>
      </c>
    </row>
    <row customHeight="true" ht="13" r="52">
      <c r="A52" s="304"/>
      <c r="L52" s="321" t="s">
        <v>720</v>
      </c>
      <c r="M52">
        <f t="shared" si="6"/>
      </c>
      <c r="N52">
        <f t="shared" si="0"/>
      </c>
      <c r="O52">
        <f t="shared" si="1"/>
      </c>
      <c r="P52">
        <f t="shared" si="2"/>
      </c>
      <c r="Q52" s="310">
        <v>51</v>
      </c>
      <c r="R52" s="310" t="s">
        <v>719</v>
      </c>
      <c r="S52" s="312">
        <v>512</v>
      </c>
      <c r="T52" s="312">
        <v>574</v>
      </c>
      <c r="U52" s="312">
        <v>623</v>
      </c>
      <c r="V52" s="312">
        <v>279</v>
      </c>
      <c r="W52" s="312">
        <v>345</v>
      </c>
      <c r="X52" s="312">
        <v>277</v>
      </c>
      <c r="Y52" s="312">
        <v>258</v>
      </c>
      <c r="Z52" s="312">
        <v>287</v>
      </c>
      <c r="AA52" s="312">
        <v>391</v>
      </c>
      <c r="AB52" s="312">
        <v>552</v>
      </c>
      <c r="AC52" s="312">
        <v>1059</v>
      </c>
      <c r="AD52" s="312">
        <v>1485</v>
      </c>
      <c r="AE52" s="312">
        <v>1090</v>
      </c>
      <c r="AF52" s="312">
        <v>1601</v>
      </c>
      <c r="AG52" s="312">
        <v>830</v>
      </c>
      <c r="AH52" s="312">
        <v>733</v>
      </c>
      <c r="AI52" s="312">
        <v>609</v>
      </c>
      <c r="AJ52" s="312">
        <v>514</v>
      </c>
      <c r="AK52" s="312">
        <v>355</v>
      </c>
      <c r="AL52" s="313">
        <v>345</v>
      </c>
      <c r="AM52" s="313">
        <v>549</v>
      </c>
      <c r="AN52" s="313">
        <v>773</v>
      </c>
      <c r="AO52" s="313">
        <v>1149</v>
      </c>
      <c r="AP52" s="313">
        <v>1601</v>
      </c>
      <c r="AQ52" s="314">
        <v>1633</v>
      </c>
      <c r="AR52" s="315">
        <v>1367</v>
      </c>
      <c r="AS52" s="315">
        <v>918</v>
      </c>
      <c r="AT52" s="315">
        <v>702</v>
      </c>
      <c r="AU52" s="315">
        <v>686</v>
      </c>
      <c r="AV52" s="315">
        <v>576</v>
      </c>
      <c r="AW52" s="315">
        <v>435</v>
      </c>
      <c r="AX52" s="315">
        <v>367</v>
      </c>
      <c r="AY52" s="315">
        <v>425</v>
      </c>
      <c r="AZ52" s="315">
        <v>988</v>
      </c>
      <c r="BA52" s="315">
        <v>1494</v>
      </c>
      <c r="BB52" s="315">
        <v>1904</v>
      </c>
      <c r="BC52" s="315">
        <v>1708</v>
      </c>
      <c r="BD52" s="315">
        <v>1664</v>
      </c>
      <c r="BE52" s="315">
        <v>1082</v>
      </c>
      <c r="BF52" s="315">
        <v>779</v>
      </c>
      <c r="BG52" s="315">
        <v>762</v>
      </c>
      <c r="BH52" s="315">
        <v>715</v>
      </c>
      <c r="BI52" s="315">
        <v>498</v>
      </c>
      <c r="BJ52" s="315">
        <v>410</v>
      </c>
      <c r="BK52" s="315">
        <v>445</v>
      </c>
      <c r="BL52" s="315">
        <v>1039</v>
      </c>
      <c r="BM52" s="315">
        <v>1396</v>
      </c>
      <c r="BN52" s="315">
        <v>1801</v>
      </c>
      <c r="BO52" s="315">
        <v>2104</v>
      </c>
      <c r="BP52" s="316">
        <v>1372</v>
      </c>
      <c r="BQ52" s="306">
        <v>31687</v>
      </c>
    </row>
    <row customHeight="true" ht="13" r="53">
      <c r="A53" s="304"/>
      <c r="L53" s="321" t="s">
        <v>720</v>
      </c>
      <c r="M53">
        <f t="shared" si="6"/>
      </c>
      <c r="N53">
        <f t="shared" si="0"/>
      </c>
      <c r="O53">
        <f t="shared" si="1"/>
      </c>
      <c r="P53">
        <f t="shared" si="2"/>
      </c>
      <c r="Q53" s="310">
        <v>52</v>
      </c>
      <c r="R53" s="310" t="s">
        <v>719</v>
      </c>
      <c r="S53" s="312">
        <v>504</v>
      </c>
      <c r="T53" s="312">
        <v>574</v>
      </c>
      <c r="U53" s="312">
        <v>616</v>
      </c>
      <c r="V53" s="312">
        <v>275</v>
      </c>
      <c r="W53" s="312">
        <v>345</v>
      </c>
      <c r="X53" s="312">
        <v>271</v>
      </c>
      <c r="Y53" s="312">
        <v>254</v>
      </c>
      <c r="Z53" s="312">
        <v>281</v>
      </c>
      <c r="AA53" s="312">
        <v>343</v>
      </c>
      <c r="AB53" s="312">
        <v>550</v>
      </c>
      <c r="AC53" s="312">
        <v>955</v>
      </c>
      <c r="AD53" s="312">
        <v>1456</v>
      </c>
      <c r="AE53" s="312">
        <v>1077</v>
      </c>
      <c r="AF53" s="312">
        <v>1588</v>
      </c>
      <c r="AG53" s="312">
        <v>824</v>
      </c>
      <c r="AH53" s="312">
        <v>719</v>
      </c>
      <c r="AI53" s="312">
        <v>596</v>
      </c>
      <c r="AJ53" s="312">
        <v>512</v>
      </c>
      <c r="AK53" s="312">
        <v>354</v>
      </c>
      <c r="AL53" s="313">
        <v>341</v>
      </c>
      <c r="AM53" s="313">
        <v>549</v>
      </c>
      <c r="AN53" s="313">
        <v>747</v>
      </c>
      <c r="AO53" s="313">
        <v>1145</v>
      </c>
      <c r="AP53" s="313">
        <v>1587</v>
      </c>
      <c r="AQ53" s="314">
        <v>1632</v>
      </c>
      <c r="AR53" s="315">
        <v>1335</v>
      </c>
      <c r="AS53" s="315">
        <v>892</v>
      </c>
      <c r="AT53" s="315">
        <v>701</v>
      </c>
      <c r="AU53" s="315">
        <v>656</v>
      </c>
      <c r="AV53" s="315">
        <v>562</v>
      </c>
      <c r="AW53" s="315">
        <v>433</v>
      </c>
      <c r="AX53" s="315">
        <v>353</v>
      </c>
      <c r="AY53" s="315">
        <v>419</v>
      </c>
      <c r="AZ53" s="315">
        <v>961</v>
      </c>
      <c r="BA53" s="315">
        <v>1486</v>
      </c>
      <c r="BB53" s="315">
        <v>1779</v>
      </c>
      <c r="BC53" s="315">
        <v>1702</v>
      </c>
      <c r="BD53" s="315">
        <v>1621</v>
      </c>
      <c r="BE53" s="315">
        <v>1060</v>
      </c>
      <c r="BF53" s="315">
        <v>771</v>
      </c>
      <c r="BG53" s="315">
        <v>754</v>
      </c>
      <c r="BH53" s="315">
        <v>699</v>
      </c>
      <c r="BI53" s="315">
        <v>496</v>
      </c>
      <c r="BJ53" s="315">
        <v>375</v>
      </c>
      <c r="BK53" s="315">
        <v>440</v>
      </c>
      <c r="BL53" s="315">
        <v>1025</v>
      </c>
      <c r="BM53" s="315">
        <v>1348</v>
      </c>
      <c r="BN53" s="315">
        <v>1781</v>
      </c>
      <c r="BO53" s="315">
        <v>1981</v>
      </c>
      <c r="BP53" s="316">
        <v>1355</v>
      </c>
      <c r="BQ53" s="306">
        <v>30986</v>
      </c>
    </row>
    <row customHeight="true" ht="13" r="54">
      <c r="A54" s="304"/>
      <c r="L54" s="321" t="s">
        <v>720</v>
      </c>
      <c r="M54">
        <f t="shared" si="6"/>
      </c>
      <c r="N54">
        <f t="shared" si="0"/>
      </c>
      <c r="O54">
        <f t="shared" si="1"/>
      </c>
      <c r="P54">
        <f t="shared" si="2"/>
      </c>
      <c r="Q54" s="310">
        <v>53</v>
      </c>
      <c r="R54" s="310" t="s">
        <v>719</v>
      </c>
      <c r="S54" s="312">
        <v>488</v>
      </c>
      <c r="T54" s="312">
        <v>560</v>
      </c>
      <c r="U54" s="312">
        <v>595</v>
      </c>
      <c r="V54" s="312">
        <v>275</v>
      </c>
      <c r="W54" s="312">
        <v>337</v>
      </c>
      <c r="X54" s="312">
        <v>263</v>
      </c>
      <c r="Y54" s="312">
        <v>246</v>
      </c>
      <c r="Z54" s="312">
        <v>277</v>
      </c>
      <c r="AA54" s="312">
        <v>340</v>
      </c>
      <c r="AB54" s="312">
        <v>540</v>
      </c>
      <c r="AC54" s="312">
        <v>950</v>
      </c>
      <c r="AD54" s="312">
        <v>1404</v>
      </c>
      <c r="AE54" s="312">
        <v>1066</v>
      </c>
      <c r="AF54" s="312">
        <v>1563</v>
      </c>
      <c r="AG54" s="312">
        <v>807</v>
      </c>
      <c r="AH54" s="312">
        <v>718</v>
      </c>
      <c r="AI54" s="312">
        <v>584</v>
      </c>
      <c r="AJ54" s="312">
        <v>506</v>
      </c>
      <c r="AK54" s="312">
        <v>353</v>
      </c>
      <c r="AL54" s="313">
        <v>330</v>
      </c>
      <c r="AM54" s="313">
        <v>530</v>
      </c>
      <c r="AN54" s="313">
        <v>745</v>
      </c>
      <c r="AO54" s="313">
        <v>1109</v>
      </c>
      <c r="AP54" s="313">
        <v>1577</v>
      </c>
      <c r="AQ54" s="314">
        <v>1621</v>
      </c>
      <c r="AR54" s="315">
        <v>1329</v>
      </c>
      <c r="AS54" s="315">
        <v>876</v>
      </c>
      <c r="AT54" s="315">
        <v>700</v>
      </c>
      <c r="AU54" s="315">
        <v>655</v>
      </c>
      <c r="AV54" s="315">
        <v>553</v>
      </c>
      <c r="AW54" s="315">
        <v>431</v>
      </c>
      <c r="AX54" s="315">
        <v>343</v>
      </c>
      <c r="AY54" s="315">
        <v>419</v>
      </c>
      <c r="AZ54" s="315">
        <v>890</v>
      </c>
      <c r="BA54" s="315">
        <v>1467</v>
      </c>
      <c r="BB54" s="315">
        <v>1774</v>
      </c>
      <c r="BC54" s="315">
        <v>1624</v>
      </c>
      <c r="BD54" s="315">
        <v>1621</v>
      </c>
      <c r="BE54" s="315">
        <v>1035</v>
      </c>
      <c r="BF54" s="315">
        <v>757</v>
      </c>
      <c r="BG54" s="315">
        <v>742</v>
      </c>
      <c r="BH54" s="315">
        <v>690</v>
      </c>
      <c r="BI54" s="315">
        <v>492</v>
      </c>
      <c r="BJ54" s="315">
        <v>361</v>
      </c>
      <c r="BK54" s="315">
        <v>440</v>
      </c>
      <c r="BL54" s="315">
        <v>990</v>
      </c>
      <c r="BM54" s="315">
        <v>1346</v>
      </c>
      <c r="BN54" s="315">
        <v>1776</v>
      </c>
      <c r="BO54" s="315">
        <v>1958</v>
      </c>
      <c r="BP54" s="316">
        <v>1341</v>
      </c>
      <c r="BQ54" s="306">
        <v>30522</v>
      </c>
    </row>
    <row customHeight="true" ht="13" r="55">
      <c r="A55" s="304"/>
      <c r="L55" s="321" t="s">
        <v>720</v>
      </c>
      <c r="M55">
        <f t="shared" si="6"/>
      </c>
      <c r="N55">
        <f t="shared" si="0"/>
      </c>
      <c r="O55">
        <f t="shared" si="1"/>
      </c>
      <c r="P55">
        <f t="shared" si="2"/>
      </c>
      <c r="Q55" s="310">
        <v>54</v>
      </c>
      <c r="R55" s="310" t="s">
        <v>719</v>
      </c>
      <c r="S55" s="312">
        <v>487</v>
      </c>
      <c r="T55" s="312">
        <v>559</v>
      </c>
      <c r="U55" s="312">
        <v>591</v>
      </c>
      <c r="V55" s="312">
        <v>275</v>
      </c>
      <c r="W55" s="312">
        <v>328</v>
      </c>
      <c r="X55" s="312">
        <v>249</v>
      </c>
      <c r="Y55" s="312">
        <v>243</v>
      </c>
      <c r="Z55" s="312">
        <v>277</v>
      </c>
      <c r="AA55" s="312">
        <v>335</v>
      </c>
      <c r="AB55" s="312">
        <v>516</v>
      </c>
      <c r="AC55" s="312">
        <v>932</v>
      </c>
      <c r="AD55" s="312">
        <v>1393</v>
      </c>
      <c r="AE55" s="312">
        <v>1065</v>
      </c>
      <c r="AF55" s="312">
        <v>1536</v>
      </c>
      <c r="AG55" s="312">
        <v>801</v>
      </c>
      <c r="AH55" s="312">
        <v>715</v>
      </c>
      <c r="AI55" s="312">
        <v>581</v>
      </c>
      <c r="AJ55" s="312">
        <v>498</v>
      </c>
      <c r="AK55" s="312">
        <v>348</v>
      </c>
      <c r="AL55" s="313">
        <v>330</v>
      </c>
      <c r="AM55" s="313">
        <v>524</v>
      </c>
      <c r="AN55" s="313">
        <v>738</v>
      </c>
      <c r="AO55" s="313">
        <v>1105</v>
      </c>
      <c r="AP55" s="313">
        <v>1564</v>
      </c>
      <c r="AQ55" s="314">
        <v>1565</v>
      </c>
      <c r="AR55" s="315">
        <v>1300</v>
      </c>
      <c r="AS55" s="315">
        <v>876</v>
      </c>
      <c r="AT55" s="315">
        <v>691</v>
      </c>
      <c r="AU55" s="315">
        <v>649</v>
      </c>
      <c r="AV55" s="315">
        <v>530</v>
      </c>
      <c r="AW55" s="315">
        <v>428</v>
      </c>
      <c r="AX55" s="315">
        <v>341</v>
      </c>
      <c r="AY55" s="315">
        <v>409</v>
      </c>
      <c r="AZ55" s="315">
        <v>877</v>
      </c>
      <c r="BA55" s="315">
        <v>1383</v>
      </c>
      <c r="BB55" s="315">
        <v>1761</v>
      </c>
      <c r="BC55" s="315">
        <v>1603</v>
      </c>
      <c r="BD55" s="315">
        <v>1618</v>
      </c>
      <c r="BE55" s="315">
        <v>1028</v>
      </c>
      <c r="BF55" s="315">
        <v>742</v>
      </c>
      <c r="BG55" s="315">
        <v>739</v>
      </c>
      <c r="BH55" s="315">
        <v>690</v>
      </c>
      <c r="BI55" s="315">
        <v>481</v>
      </c>
      <c r="BJ55" s="315">
        <v>350</v>
      </c>
      <c r="BK55" s="315">
        <v>439</v>
      </c>
      <c r="BL55" s="315">
        <v>979</v>
      </c>
      <c r="BM55" s="315">
        <v>1319</v>
      </c>
      <c r="BN55" s="315">
        <v>1761</v>
      </c>
      <c r="BO55" s="315">
        <v>1953</v>
      </c>
      <c r="BP55" s="316">
        <v>1318</v>
      </c>
      <c r="BQ55" s="306">
        <v>30091</v>
      </c>
    </row>
    <row customHeight="true" ht="13" r="56">
      <c r="A56" s="304"/>
      <c r="L56" s="321" t="s">
        <v>720</v>
      </c>
      <c r="M56">
        <f t="shared" si="6"/>
      </c>
      <c r="N56">
        <f t="shared" si="0"/>
      </c>
      <c r="O56">
        <f t="shared" si="1"/>
      </c>
      <c r="P56">
        <f t="shared" si="2"/>
      </c>
      <c r="Q56" s="310">
        <v>55</v>
      </c>
      <c r="R56" s="310" t="s">
        <v>719</v>
      </c>
      <c r="S56" s="312">
        <v>480</v>
      </c>
      <c r="T56" s="312">
        <v>558</v>
      </c>
      <c r="U56" s="312">
        <v>578</v>
      </c>
      <c r="V56" s="312">
        <v>272</v>
      </c>
      <c r="W56" s="312">
        <v>306</v>
      </c>
      <c r="X56" s="312">
        <v>244</v>
      </c>
      <c r="Y56" s="312">
        <v>227</v>
      </c>
      <c r="Z56" s="312">
        <v>270</v>
      </c>
      <c r="AA56" s="312">
        <v>331</v>
      </c>
      <c r="AB56" s="312">
        <v>511</v>
      </c>
      <c r="AC56" s="312">
        <v>919</v>
      </c>
      <c r="AD56" s="312">
        <v>1388</v>
      </c>
      <c r="AE56" s="312">
        <v>1065</v>
      </c>
      <c r="AF56" s="312">
        <v>1534</v>
      </c>
      <c r="AG56" s="312">
        <v>793</v>
      </c>
      <c r="AH56" s="312">
        <v>709</v>
      </c>
      <c r="AI56" s="312">
        <v>580</v>
      </c>
      <c r="AJ56" s="312">
        <v>496</v>
      </c>
      <c r="AK56" s="312">
        <v>347</v>
      </c>
      <c r="AL56" s="313">
        <v>328</v>
      </c>
      <c r="AM56" s="313">
        <v>521</v>
      </c>
      <c r="AN56" s="313">
        <v>725</v>
      </c>
      <c r="AO56" s="313">
        <v>1094</v>
      </c>
      <c r="AP56" s="313">
        <v>1552</v>
      </c>
      <c r="AQ56" s="314">
        <v>1518</v>
      </c>
      <c r="AR56" s="315">
        <v>1270</v>
      </c>
      <c r="AS56" s="315">
        <v>862</v>
      </c>
      <c r="AT56" s="315">
        <v>687</v>
      </c>
      <c r="AU56" s="315">
        <v>645</v>
      </c>
      <c r="AV56" s="315">
        <v>523</v>
      </c>
      <c r="AW56" s="315">
        <v>423</v>
      </c>
      <c r="AX56" s="315">
        <v>339</v>
      </c>
      <c r="AY56" s="315">
        <v>405</v>
      </c>
      <c r="AZ56" s="315">
        <v>856</v>
      </c>
      <c r="BA56" s="315">
        <v>1356</v>
      </c>
      <c r="BB56" s="315">
        <v>1726</v>
      </c>
      <c r="BC56" s="315">
        <v>1576</v>
      </c>
      <c r="BD56" s="315">
        <v>1613</v>
      </c>
      <c r="BE56" s="315">
        <v>1020</v>
      </c>
      <c r="BF56" s="315">
        <v>738</v>
      </c>
      <c r="BG56" s="315">
        <v>711</v>
      </c>
      <c r="BH56" s="315">
        <v>672</v>
      </c>
      <c r="BI56" s="315">
        <v>474</v>
      </c>
      <c r="BJ56" s="315">
        <v>350</v>
      </c>
      <c r="BK56" s="315">
        <v>434</v>
      </c>
      <c r="BL56" s="315">
        <v>975</v>
      </c>
      <c r="BM56" s="315">
        <v>1312</v>
      </c>
      <c r="BN56" s="315">
        <v>1751</v>
      </c>
      <c r="BO56" s="315">
        <v>1918</v>
      </c>
      <c r="BP56" s="316">
        <v>1298</v>
      </c>
      <c r="BQ56" s="306">
        <v>29672</v>
      </c>
    </row>
    <row customHeight="true" ht="13" r="57">
      <c r="A57" s="304"/>
      <c r="L57" s="321" t="s">
        <v>720</v>
      </c>
      <c r="M57">
        <f t="shared" si="6"/>
      </c>
      <c r="N57">
        <f t="shared" si="0"/>
      </c>
      <c r="O57">
        <f t="shared" si="1"/>
      </c>
      <c r="P57">
        <f t="shared" si="2"/>
      </c>
      <c r="Q57" s="310">
        <v>56</v>
      </c>
      <c r="R57" s="310" t="s">
        <v>719</v>
      </c>
      <c r="S57" s="312">
        <v>478</v>
      </c>
      <c r="T57" s="312">
        <v>536</v>
      </c>
      <c r="U57" s="312">
        <v>521</v>
      </c>
      <c r="V57" s="312">
        <v>270</v>
      </c>
      <c r="W57" s="312">
        <v>304</v>
      </c>
      <c r="X57" s="312">
        <v>241</v>
      </c>
      <c r="Y57" s="312">
        <v>224</v>
      </c>
      <c r="Z57" s="312">
        <v>264</v>
      </c>
      <c r="AA57" s="312">
        <v>326</v>
      </c>
      <c r="AB57" s="312">
        <v>508</v>
      </c>
      <c r="AC57" s="312">
        <v>913</v>
      </c>
      <c r="AD57" s="312">
        <v>1368</v>
      </c>
      <c r="AE57" s="312">
        <v>1058</v>
      </c>
      <c r="AF57" s="312">
        <v>1507</v>
      </c>
      <c r="AG57" s="312">
        <v>788</v>
      </c>
      <c r="AH57" s="312">
        <v>704</v>
      </c>
      <c r="AI57" s="312">
        <v>576</v>
      </c>
      <c r="AJ57" s="312">
        <v>491</v>
      </c>
      <c r="AK57" s="312">
        <v>342</v>
      </c>
      <c r="AL57" s="313">
        <v>326</v>
      </c>
      <c r="AM57" s="313">
        <v>505</v>
      </c>
      <c r="AN57" s="313">
        <v>716</v>
      </c>
      <c r="AO57" s="313">
        <v>1089</v>
      </c>
      <c r="AP57" s="313">
        <v>1534</v>
      </c>
      <c r="AQ57" s="314">
        <v>1514</v>
      </c>
      <c r="AR57" s="315">
        <v>1222</v>
      </c>
      <c r="AS57" s="315">
        <v>854</v>
      </c>
      <c r="AT57" s="315">
        <v>681</v>
      </c>
      <c r="AU57" s="315">
        <v>644</v>
      </c>
      <c r="AV57" s="315">
        <v>522</v>
      </c>
      <c r="AW57" s="315">
        <v>422</v>
      </c>
      <c r="AX57" s="315">
        <v>336</v>
      </c>
      <c r="AY57" s="315">
        <v>400</v>
      </c>
      <c r="AZ57" s="315">
        <v>828</v>
      </c>
      <c r="BA57" s="315">
        <v>1347</v>
      </c>
      <c r="BB57" s="315">
        <v>1663</v>
      </c>
      <c r="BC57" s="315">
        <v>1560</v>
      </c>
      <c r="BD57" s="315">
        <v>1587</v>
      </c>
      <c r="BE57" s="315">
        <v>1020</v>
      </c>
      <c r="BF57" s="315">
        <v>718</v>
      </c>
      <c r="BG57" s="315">
        <v>702</v>
      </c>
      <c r="BH57" s="315">
        <v>670</v>
      </c>
      <c r="BI57" s="315">
        <v>469</v>
      </c>
      <c r="BJ57" s="315">
        <v>347</v>
      </c>
      <c r="BK57" s="315">
        <v>428</v>
      </c>
      <c r="BL57" s="315">
        <v>972</v>
      </c>
      <c r="BM57" s="315">
        <v>1311</v>
      </c>
      <c r="BN57" s="315">
        <v>1728</v>
      </c>
      <c r="BO57" s="315">
        <v>1918</v>
      </c>
      <c r="BP57" s="316">
        <v>1294</v>
      </c>
      <c r="BQ57" s="306">
        <v>29327</v>
      </c>
    </row>
    <row customHeight="true" ht="13" r="58">
      <c r="A58" s="304"/>
      <c r="L58" s="321" t="s">
        <v>720</v>
      </c>
      <c r="M58">
        <f t="shared" si="6"/>
      </c>
      <c r="N58">
        <f t="shared" si="0"/>
      </c>
      <c r="O58">
        <f t="shared" si="1"/>
      </c>
      <c r="P58">
        <f t="shared" si="2"/>
      </c>
      <c r="Q58" s="310">
        <v>57</v>
      </c>
      <c r="R58" s="310" t="s">
        <v>719</v>
      </c>
      <c r="S58" s="312">
        <v>467</v>
      </c>
      <c r="T58" s="312">
        <v>530</v>
      </c>
      <c r="U58" s="312">
        <v>489</v>
      </c>
      <c r="V58" s="312">
        <v>257</v>
      </c>
      <c r="W58" s="312">
        <v>302</v>
      </c>
      <c r="X58" s="312">
        <v>236</v>
      </c>
      <c r="Y58" s="312">
        <v>219</v>
      </c>
      <c r="Z58" s="312">
        <v>259</v>
      </c>
      <c r="AA58" s="312">
        <v>320</v>
      </c>
      <c r="AB58" s="312">
        <v>490</v>
      </c>
      <c r="AC58" s="312">
        <v>880</v>
      </c>
      <c r="AD58" s="312">
        <v>1337</v>
      </c>
      <c r="AE58" s="312">
        <v>1017</v>
      </c>
      <c r="AF58" s="312">
        <v>1480</v>
      </c>
      <c r="AG58" s="312">
        <v>786</v>
      </c>
      <c r="AH58" s="312">
        <v>702</v>
      </c>
      <c r="AI58" s="312">
        <v>572</v>
      </c>
      <c r="AJ58" s="312">
        <v>490</v>
      </c>
      <c r="AK58" s="312">
        <v>342</v>
      </c>
      <c r="AL58" s="313">
        <v>325</v>
      </c>
      <c r="AM58" s="313">
        <v>502</v>
      </c>
      <c r="AN58" s="313">
        <v>715</v>
      </c>
      <c r="AO58" s="313">
        <v>1073</v>
      </c>
      <c r="AP58" s="313">
        <v>1521</v>
      </c>
      <c r="AQ58" s="314">
        <v>1512</v>
      </c>
      <c r="AR58" s="315">
        <v>1205</v>
      </c>
      <c r="AS58" s="315">
        <v>849</v>
      </c>
      <c r="AT58" s="315">
        <v>676</v>
      </c>
      <c r="AU58" s="315">
        <v>643</v>
      </c>
      <c r="AV58" s="315">
        <v>508</v>
      </c>
      <c r="AW58" s="315">
        <v>400</v>
      </c>
      <c r="AX58" s="315">
        <v>334</v>
      </c>
      <c r="AY58" s="315">
        <v>389</v>
      </c>
      <c r="AZ58" s="315">
        <v>820</v>
      </c>
      <c r="BA58" s="315">
        <v>1344</v>
      </c>
      <c r="BB58" s="315">
        <v>1625</v>
      </c>
      <c r="BC58" s="315">
        <v>1524</v>
      </c>
      <c r="BD58" s="315">
        <v>1464</v>
      </c>
      <c r="BE58" s="315">
        <v>997</v>
      </c>
      <c r="BF58" s="315">
        <v>700</v>
      </c>
      <c r="BG58" s="315">
        <v>694</v>
      </c>
      <c r="BH58" s="315">
        <v>664</v>
      </c>
      <c r="BI58" s="315">
        <v>465</v>
      </c>
      <c r="BJ58" s="315">
        <v>346</v>
      </c>
      <c r="BK58" s="315">
        <v>413</v>
      </c>
      <c r="BL58" s="315">
        <v>965</v>
      </c>
      <c r="BM58" s="315">
        <v>1302</v>
      </c>
      <c r="BN58" s="315">
        <v>1696</v>
      </c>
      <c r="BO58" s="315">
        <v>1872</v>
      </c>
      <c r="BP58" s="316">
        <v>1291</v>
      </c>
      <c r="BQ58" s="306">
        <v>28834</v>
      </c>
    </row>
    <row customHeight="true" ht="13" r="59">
      <c r="A59" s="304"/>
      <c r="L59" s="321" t="s">
        <v>720</v>
      </c>
      <c r="M59">
        <f t="shared" si="6"/>
      </c>
      <c r="N59">
        <f t="shared" si="0"/>
      </c>
      <c r="O59">
        <f t="shared" si="1"/>
      </c>
      <c r="P59">
        <f t="shared" si="2"/>
      </c>
      <c r="Q59" s="310">
        <v>58</v>
      </c>
      <c r="R59" s="310" t="s">
        <v>719</v>
      </c>
      <c r="S59" s="312">
        <v>448</v>
      </c>
      <c r="T59" s="312">
        <v>529</v>
      </c>
      <c r="U59" s="312">
        <v>478</v>
      </c>
      <c r="V59" s="312">
        <v>255</v>
      </c>
      <c r="W59" s="312">
        <v>302</v>
      </c>
      <c r="X59" s="312">
        <v>233</v>
      </c>
      <c r="Y59" s="312">
        <v>212</v>
      </c>
      <c r="Z59" s="312">
        <v>243</v>
      </c>
      <c r="AA59" s="312">
        <v>318</v>
      </c>
      <c r="AB59" s="312">
        <v>487</v>
      </c>
      <c r="AC59" s="312">
        <v>868</v>
      </c>
      <c r="AD59" s="312">
        <v>1336</v>
      </c>
      <c r="AE59" s="312">
        <v>1012</v>
      </c>
      <c r="AF59" s="312">
        <v>1436</v>
      </c>
      <c r="AG59" s="312">
        <v>778</v>
      </c>
      <c r="AH59" s="312">
        <v>681</v>
      </c>
      <c r="AI59" s="312">
        <v>567</v>
      </c>
      <c r="AJ59" s="312">
        <v>489</v>
      </c>
      <c r="AK59" s="312">
        <v>337</v>
      </c>
      <c r="AL59" s="313">
        <v>324</v>
      </c>
      <c r="AM59" s="313">
        <v>497</v>
      </c>
      <c r="AN59" s="313">
        <v>714</v>
      </c>
      <c r="AO59" s="313">
        <v>1067</v>
      </c>
      <c r="AP59" s="313">
        <v>1490</v>
      </c>
      <c r="AQ59" s="314">
        <v>1512</v>
      </c>
      <c r="AR59" s="315">
        <v>1134</v>
      </c>
      <c r="AS59" s="315">
        <v>826</v>
      </c>
      <c r="AT59" s="315">
        <v>667</v>
      </c>
      <c r="AU59" s="315">
        <v>629</v>
      </c>
      <c r="AV59" s="315">
        <v>498</v>
      </c>
      <c r="AW59" s="315">
        <v>385</v>
      </c>
      <c r="AX59" s="315">
        <v>330</v>
      </c>
      <c r="AY59" s="315">
        <v>386</v>
      </c>
      <c r="AZ59" s="315">
        <v>799</v>
      </c>
      <c r="BA59" s="315">
        <v>1328</v>
      </c>
      <c r="BB59" s="315">
        <v>1621</v>
      </c>
      <c r="BC59" s="315">
        <v>1511</v>
      </c>
      <c r="BD59" s="315">
        <v>1457</v>
      </c>
      <c r="BE59" s="315">
        <v>969</v>
      </c>
      <c r="BF59" s="315">
        <v>698</v>
      </c>
      <c r="BG59" s="315">
        <v>686</v>
      </c>
      <c r="BH59" s="315">
        <v>662</v>
      </c>
      <c r="BI59" s="315">
        <v>465</v>
      </c>
      <c r="BJ59" s="315">
        <v>344</v>
      </c>
      <c r="BK59" s="315">
        <v>406</v>
      </c>
      <c r="BL59" s="315">
        <v>961</v>
      </c>
      <c r="BM59" s="315">
        <v>1288</v>
      </c>
      <c r="BN59" s="315">
        <v>1650</v>
      </c>
      <c r="BO59" s="315">
        <v>1865</v>
      </c>
      <c r="BP59" s="316">
        <v>1281</v>
      </c>
      <c r="BQ59" s="306">
        <v>28450</v>
      </c>
    </row>
    <row customHeight="true" ht="13" r="60">
      <c r="A60" s="304"/>
      <c r="L60" s="321" t="s">
        <v>720</v>
      </c>
      <c r="M60">
        <f t="shared" si="6"/>
      </c>
      <c r="N60">
        <f t="shared" si="0"/>
      </c>
      <c r="O60">
        <f t="shared" si="1"/>
      </c>
      <c r="P60">
        <f t="shared" si="2"/>
      </c>
      <c r="Q60" s="310">
        <v>59</v>
      </c>
      <c r="R60" s="310" t="s">
        <v>721</v>
      </c>
      <c r="S60" s="312">
        <v>448</v>
      </c>
      <c r="T60" s="312">
        <v>525</v>
      </c>
      <c r="U60" s="312">
        <v>477</v>
      </c>
      <c r="V60" s="312">
        <v>251</v>
      </c>
      <c r="W60" s="312">
        <v>269</v>
      </c>
      <c r="X60" s="312">
        <v>232</v>
      </c>
      <c r="Y60" s="312">
        <v>209</v>
      </c>
      <c r="Z60" s="312">
        <v>240</v>
      </c>
      <c r="AA60" s="312">
        <v>305</v>
      </c>
      <c r="AB60" s="312">
        <v>478</v>
      </c>
      <c r="AC60" s="312">
        <v>858</v>
      </c>
      <c r="AD60" s="312">
        <v>1308</v>
      </c>
      <c r="AE60" s="312">
        <v>997</v>
      </c>
      <c r="AF60" s="312">
        <v>1430</v>
      </c>
      <c r="AG60" s="312">
        <v>775</v>
      </c>
      <c r="AH60" s="312">
        <v>672</v>
      </c>
      <c r="AI60" s="312">
        <v>567</v>
      </c>
      <c r="AJ60" s="312">
        <v>484</v>
      </c>
      <c r="AK60" s="312">
        <v>332</v>
      </c>
      <c r="AL60" s="313">
        <v>309</v>
      </c>
      <c r="AM60" s="313">
        <v>465</v>
      </c>
      <c r="AN60" s="313">
        <v>704</v>
      </c>
      <c r="AO60" s="313">
        <v>1055</v>
      </c>
      <c r="AP60" s="313">
        <v>1475</v>
      </c>
      <c r="AQ60" s="314">
        <v>1457</v>
      </c>
      <c r="AR60" s="315">
        <v>1121</v>
      </c>
      <c r="AS60" s="315">
        <v>808</v>
      </c>
      <c r="AT60" s="315">
        <v>651</v>
      </c>
      <c r="AU60" s="315">
        <v>619</v>
      </c>
      <c r="AV60" s="315">
        <v>489</v>
      </c>
      <c r="AW60" s="315">
        <v>374</v>
      </c>
      <c r="AX60" s="315">
        <v>330</v>
      </c>
      <c r="AY60" s="315">
        <v>378</v>
      </c>
      <c r="AZ60" s="315">
        <v>793</v>
      </c>
      <c r="BA60" s="315">
        <v>1323</v>
      </c>
      <c r="BB60" s="315">
        <v>1591</v>
      </c>
      <c r="BC60" s="315">
        <v>1507</v>
      </c>
      <c r="BD60" s="315">
        <v>1432</v>
      </c>
      <c r="BE60" s="315">
        <v>936</v>
      </c>
      <c r="BF60" s="315">
        <v>695</v>
      </c>
      <c r="BG60" s="315">
        <v>679</v>
      </c>
      <c r="BH60" s="315">
        <v>654</v>
      </c>
      <c r="BI60" s="315">
        <v>462</v>
      </c>
      <c r="BJ60" s="315">
        <v>341</v>
      </c>
      <c r="BK60" s="315">
        <v>401</v>
      </c>
      <c r="BL60" s="315">
        <v>959</v>
      </c>
      <c r="BM60" s="315">
        <v>1281</v>
      </c>
      <c r="BN60" s="315">
        <v>1650</v>
      </c>
      <c r="BO60" s="315">
        <v>1829</v>
      </c>
      <c r="BP60" s="316">
        <v>1265</v>
      </c>
      <c r="BQ60" s="306">
        <v>28033</v>
      </c>
    </row>
    <row customHeight="true" ht="13" r="61">
      <c r="A61" s="304"/>
      <c r="L61" s="321" t="s">
        <v>720</v>
      </c>
      <c r="M61">
        <f t="shared" si="6"/>
      </c>
      <c r="N61">
        <f t="shared" si="0"/>
      </c>
      <c r="O61">
        <f t="shared" si="1"/>
      </c>
      <c r="P61">
        <f t="shared" si="2"/>
      </c>
      <c r="Q61" s="310">
        <v>60</v>
      </c>
      <c r="R61" s="310" t="s">
        <v>721</v>
      </c>
      <c r="S61" s="312">
        <v>447</v>
      </c>
      <c r="T61" s="312">
        <v>524</v>
      </c>
      <c r="U61" s="312">
        <v>475</v>
      </c>
      <c r="V61" s="312">
        <v>241</v>
      </c>
      <c r="W61" s="312">
        <v>265</v>
      </c>
      <c r="X61" s="312">
        <v>226</v>
      </c>
      <c r="Y61" s="312">
        <v>209</v>
      </c>
      <c r="Z61" s="312">
        <v>238</v>
      </c>
      <c r="AA61" s="312">
        <v>305</v>
      </c>
      <c r="AB61" s="312">
        <v>444</v>
      </c>
      <c r="AC61" s="312">
        <v>832</v>
      </c>
      <c r="AD61" s="312">
        <v>1268</v>
      </c>
      <c r="AE61" s="312">
        <v>997</v>
      </c>
      <c r="AF61" s="312">
        <v>1400</v>
      </c>
      <c r="AG61" s="312">
        <v>769</v>
      </c>
      <c r="AH61" s="312">
        <v>629</v>
      </c>
      <c r="AI61" s="312">
        <v>563</v>
      </c>
      <c r="AJ61" s="312">
        <v>475</v>
      </c>
      <c r="AK61" s="312">
        <v>331</v>
      </c>
      <c r="AL61" s="313">
        <v>297</v>
      </c>
      <c r="AM61" s="313">
        <v>462</v>
      </c>
      <c r="AN61" s="313">
        <v>692</v>
      </c>
      <c r="AO61" s="313">
        <v>1055</v>
      </c>
      <c r="AP61" s="313">
        <v>1426</v>
      </c>
      <c r="AQ61" s="314">
        <v>1446</v>
      </c>
      <c r="AR61" s="315">
        <v>1107</v>
      </c>
      <c r="AS61" s="315">
        <v>790</v>
      </c>
      <c r="AT61" s="315">
        <v>642</v>
      </c>
      <c r="AU61" s="315">
        <v>603</v>
      </c>
      <c r="AV61" s="315">
        <v>480</v>
      </c>
      <c r="AW61" s="315">
        <v>363</v>
      </c>
      <c r="AX61" s="315">
        <v>324</v>
      </c>
      <c r="AY61" s="315">
        <v>377</v>
      </c>
      <c r="AZ61" s="315">
        <v>782</v>
      </c>
      <c r="BA61" s="315">
        <v>1309</v>
      </c>
      <c r="BB61" s="315">
        <v>1581</v>
      </c>
      <c r="BC61" s="315">
        <v>1487</v>
      </c>
      <c r="BD61" s="315">
        <v>1402</v>
      </c>
      <c r="BE61" s="315">
        <v>908</v>
      </c>
      <c r="BF61" s="315">
        <v>695</v>
      </c>
      <c r="BG61" s="315">
        <v>672</v>
      </c>
      <c r="BH61" s="315">
        <v>638</v>
      </c>
      <c r="BI61" s="315">
        <v>461</v>
      </c>
      <c r="BJ61" s="315">
        <v>335</v>
      </c>
      <c r="BK61" s="315">
        <v>400</v>
      </c>
      <c r="BL61" s="315">
        <v>954</v>
      </c>
      <c r="BM61" s="315">
        <v>1280</v>
      </c>
      <c r="BN61" s="315">
        <v>1614</v>
      </c>
      <c r="BO61" s="315">
        <v>1794</v>
      </c>
      <c r="BP61" s="316">
        <v>1261</v>
      </c>
      <c r="BQ61" s="306">
        <v>27637</v>
      </c>
    </row>
    <row customHeight="true" ht="13" r="62">
      <c r="A62" s="304"/>
      <c r="L62" s="321" t="s">
        <v>720</v>
      </c>
      <c r="M62">
        <f t="shared" si="6"/>
      </c>
      <c r="N62">
        <f t="shared" si="0"/>
      </c>
      <c r="O62">
        <f t="shared" si="1"/>
      </c>
      <c r="P62">
        <f t="shared" si="2"/>
      </c>
      <c r="Q62" s="310">
        <v>61</v>
      </c>
      <c r="R62" s="310" t="s">
        <v>721</v>
      </c>
      <c r="S62" s="312">
        <v>445</v>
      </c>
      <c r="T62" s="312">
        <v>519</v>
      </c>
      <c r="U62" s="312">
        <v>464</v>
      </c>
      <c r="V62" s="312">
        <v>240</v>
      </c>
      <c r="W62" s="312">
        <v>264</v>
      </c>
      <c r="X62" s="312">
        <v>218</v>
      </c>
      <c r="Y62" s="312">
        <v>208</v>
      </c>
      <c r="Z62" s="312">
        <v>238</v>
      </c>
      <c r="AA62" s="312">
        <v>303</v>
      </c>
      <c r="AB62" s="312">
        <v>437</v>
      </c>
      <c r="AC62" s="312">
        <v>815</v>
      </c>
      <c r="AD62" s="312">
        <v>1201</v>
      </c>
      <c r="AE62" s="312">
        <v>989</v>
      </c>
      <c r="AF62" s="312">
        <v>1358</v>
      </c>
      <c r="AG62" s="312">
        <v>769</v>
      </c>
      <c r="AH62" s="312">
        <v>619</v>
      </c>
      <c r="AI62" s="312">
        <v>543</v>
      </c>
      <c r="AJ62" s="312">
        <v>468</v>
      </c>
      <c r="AK62" s="312">
        <v>327</v>
      </c>
      <c r="AL62" s="313">
        <v>297</v>
      </c>
      <c r="AM62" s="313">
        <v>438</v>
      </c>
      <c r="AN62" s="313">
        <v>688</v>
      </c>
      <c r="AO62" s="313">
        <v>1048</v>
      </c>
      <c r="AP62" s="313">
        <v>1424</v>
      </c>
      <c r="AQ62" s="314">
        <v>1390</v>
      </c>
      <c r="AR62" s="315">
        <v>1095</v>
      </c>
      <c r="AS62" s="315">
        <v>761</v>
      </c>
      <c r="AT62" s="315">
        <v>626</v>
      </c>
      <c r="AU62" s="315">
        <v>601</v>
      </c>
      <c r="AV62" s="315">
        <v>466</v>
      </c>
      <c r="AW62" s="315">
        <v>360</v>
      </c>
      <c r="AX62" s="315">
        <v>319</v>
      </c>
      <c r="AY62" s="315">
        <v>366</v>
      </c>
      <c r="AZ62" s="315">
        <v>774</v>
      </c>
      <c r="BA62" s="315">
        <v>1307</v>
      </c>
      <c r="BB62" s="315">
        <v>1569</v>
      </c>
      <c r="BC62" s="315">
        <v>1450</v>
      </c>
      <c r="BD62" s="315">
        <v>1399</v>
      </c>
      <c r="BE62" s="315">
        <v>904</v>
      </c>
      <c r="BF62" s="315">
        <v>693</v>
      </c>
      <c r="BG62" s="315">
        <v>664</v>
      </c>
      <c r="BH62" s="315">
        <v>637</v>
      </c>
      <c r="BI62" s="315">
        <v>446</v>
      </c>
      <c r="BJ62" s="315">
        <v>334</v>
      </c>
      <c r="BK62" s="315">
        <v>398</v>
      </c>
      <c r="BL62" s="315">
        <v>952</v>
      </c>
      <c r="BM62" s="315">
        <v>1268</v>
      </c>
      <c r="BN62" s="315">
        <v>1609</v>
      </c>
      <c r="BO62" s="315">
        <v>1792</v>
      </c>
      <c r="BP62" s="316">
        <v>1250</v>
      </c>
      <c r="BQ62" s="306">
        <v>27325</v>
      </c>
    </row>
    <row customHeight="true" ht="13" r="63">
      <c r="A63" s="304"/>
      <c r="L63" s="321" t="s">
        <v>720</v>
      </c>
      <c r="M63">
        <f t="shared" si="6"/>
      </c>
      <c r="N63">
        <f t="shared" si="0"/>
      </c>
      <c r="O63">
        <f t="shared" si="1"/>
      </c>
      <c r="P63">
        <f t="shared" si="2"/>
      </c>
      <c r="Q63" s="310">
        <v>62</v>
      </c>
      <c r="R63" s="310" t="s">
        <v>721</v>
      </c>
      <c r="S63" s="312">
        <v>441</v>
      </c>
      <c r="T63" s="312">
        <v>496</v>
      </c>
      <c r="U63" s="312">
        <v>440</v>
      </c>
      <c r="V63" s="312">
        <v>240</v>
      </c>
      <c r="W63" s="312">
        <v>263</v>
      </c>
      <c r="X63" s="312">
        <v>212</v>
      </c>
      <c r="Y63" s="312">
        <v>208</v>
      </c>
      <c r="Z63" s="312">
        <v>216</v>
      </c>
      <c r="AA63" s="312">
        <v>302</v>
      </c>
      <c r="AB63" s="312">
        <v>431</v>
      </c>
      <c r="AC63" s="312">
        <v>808</v>
      </c>
      <c r="AD63" s="312">
        <v>1187</v>
      </c>
      <c r="AE63" s="312">
        <v>982</v>
      </c>
      <c r="AF63" s="312">
        <v>1356</v>
      </c>
      <c r="AG63" s="312">
        <v>765</v>
      </c>
      <c r="AH63" s="312">
        <v>591</v>
      </c>
      <c r="AI63" s="312">
        <v>535</v>
      </c>
      <c r="AJ63" s="312">
        <v>463</v>
      </c>
      <c r="AK63" s="312">
        <v>316</v>
      </c>
      <c r="AL63" s="313">
        <v>292</v>
      </c>
      <c r="AM63" s="313">
        <v>432</v>
      </c>
      <c r="AN63" s="313">
        <v>675</v>
      </c>
      <c r="AO63" s="313">
        <v>1041</v>
      </c>
      <c r="AP63" s="313">
        <v>1415</v>
      </c>
      <c r="AQ63" s="314">
        <v>1370</v>
      </c>
      <c r="AR63" s="315">
        <v>1080</v>
      </c>
      <c r="AS63" s="315">
        <v>748</v>
      </c>
      <c r="AT63" s="315">
        <v>626</v>
      </c>
      <c r="AU63" s="315">
        <v>579</v>
      </c>
      <c r="AV63" s="315">
        <v>465</v>
      </c>
      <c r="AW63" s="315">
        <v>358</v>
      </c>
      <c r="AX63" s="315">
        <v>313</v>
      </c>
      <c r="AY63" s="315">
        <v>365</v>
      </c>
      <c r="AZ63" s="315">
        <v>768</v>
      </c>
      <c r="BA63" s="315">
        <v>1283</v>
      </c>
      <c r="BB63" s="315">
        <v>1560</v>
      </c>
      <c r="BC63" s="315">
        <v>1450</v>
      </c>
      <c r="BD63" s="315">
        <v>1398</v>
      </c>
      <c r="BE63" s="315">
        <v>898</v>
      </c>
      <c r="BF63" s="315">
        <v>691</v>
      </c>
      <c r="BG63" s="315">
        <v>661</v>
      </c>
      <c r="BH63" s="315">
        <v>631</v>
      </c>
      <c r="BI63" s="315">
        <v>440</v>
      </c>
      <c r="BJ63" s="315">
        <v>332</v>
      </c>
      <c r="BK63" s="315">
        <v>396</v>
      </c>
      <c r="BL63" s="315">
        <v>922</v>
      </c>
      <c r="BM63" s="315">
        <v>1240</v>
      </c>
      <c r="BN63" s="315">
        <v>1603</v>
      </c>
      <c r="BO63" s="315">
        <v>1770</v>
      </c>
      <c r="BP63" s="316">
        <v>1247</v>
      </c>
      <c r="BQ63" s="306">
        <v>27049</v>
      </c>
    </row>
    <row customHeight="true" ht="13" r="64">
      <c r="A64" s="304"/>
      <c r="L64" s="321" t="s">
        <v>720</v>
      </c>
      <c r="M64">
        <f t="shared" si="6"/>
      </c>
      <c r="N64">
        <f t="shared" si="0"/>
      </c>
      <c r="O64">
        <f t="shared" si="1"/>
      </c>
      <c r="P64">
        <f t="shared" si="2"/>
      </c>
      <c r="Q64" s="310">
        <v>63</v>
      </c>
      <c r="R64" s="310" t="s">
        <v>721</v>
      </c>
      <c r="S64" s="312">
        <v>436</v>
      </c>
      <c r="T64" s="312">
        <v>472</v>
      </c>
      <c r="U64" s="312">
        <v>435</v>
      </c>
      <c r="V64" s="312">
        <v>233</v>
      </c>
      <c r="W64" s="312">
        <v>263</v>
      </c>
      <c r="X64" s="312">
        <v>210</v>
      </c>
      <c r="Y64" s="312">
        <v>205</v>
      </c>
      <c r="Z64" s="312">
        <v>212</v>
      </c>
      <c r="AA64" s="312">
        <v>302</v>
      </c>
      <c r="AB64" s="312">
        <v>425</v>
      </c>
      <c r="AC64" s="312">
        <v>794</v>
      </c>
      <c r="AD64" s="312">
        <v>1170</v>
      </c>
      <c r="AE64" s="312">
        <v>979</v>
      </c>
      <c r="AF64" s="312">
        <v>1338</v>
      </c>
      <c r="AG64" s="312">
        <v>764</v>
      </c>
      <c r="AH64" s="312">
        <v>577</v>
      </c>
      <c r="AI64" s="312">
        <v>526</v>
      </c>
      <c r="AJ64" s="312">
        <v>463</v>
      </c>
      <c r="AK64" s="312">
        <v>315</v>
      </c>
      <c r="AL64" s="313">
        <v>286</v>
      </c>
      <c r="AM64" s="313">
        <v>430</v>
      </c>
      <c r="AN64" s="313">
        <v>668</v>
      </c>
      <c r="AO64" s="313">
        <v>1025</v>
      </c>
      <c r="AP64" s="313">
        <v>1409</v>
      </c>
      <c r="AQ64" s="314">
        <v>1369</v>
      </c>
      <c r="AR64" s="315">
        <v>1076</v>
      </c>
      <c r="AS64" s="315">
        <v>745</v>
      </c>
      <c r="AT64" s="315">
        <v>623</v>
      </c>
      <c r="AU64" s="315">
        <v>547</v>
      </c>
      <c r="AV64" s="315">
        <v>458</v>
      </c>
      <c r="AW64" s="315">
        <v>346</v>
      </c>
      <c r="AX64" s="315">
        <v>312</v>
      </c>
      <c r="AY64" s="315">
        <v>363</v>
      </c>
      <c r="AZ64" s="315">
        <v>755</v>
      </c>
      <c r="BA64" s="315">
        <v>1266</v>
      </c>
      <c r="BB64" s="315">
        <v>1516</v>
      </c>
      <c r="BC64" s="315">
        <v>1432</v>
      </c>
      <c r="BD64" s="315">
        <v>1381</v>
      </c>
      <c r="BE64" s="315">
        <v>895</v>
      </c>
      <c r="BF64" s="315">
        <v>689</v>
      </c>
      <c r="BG64" s="315">
        <v>652</v>
      </c>
      <c r="BH64" s="315">
        <v>626</v>
      </c>
      <c r="BI64" s="315">
        <v>434</v>
      </c>
      <c r="BJ64" s="315">
        <v>331</v>
      </c>
      <c r="BK64" s="315">
        <v>384</v>
      </c>
      <c r="BL64" s="315">
        <v>913</v>
      </c>
      <c r="BM64" s="315">
        <v>1239</v>
      </c>
      <c r="BN64" s="315">
        <v>1561</v>
      </c>
      <c r="BO64" s="315">
        <v>1768</v>
      </c>
      <c r="BP64" s="316">
        <v>1197</v>
      </c>
      <c r="BQ64" s="306">
        <v>26696</v>
      </c>
    </row>
    <row customHeight="true" ht="13" r="65">
      <c r="A65" s="304"/>
      <c r="L65" s="321" t="s">
        <v>720</v>
      </c>
      <c r="M65">
        <f t="shared" si="6"/>
      </c>
      <c r="N65">
        <f t="shared" si="0"/>
      </c>
      <c r="O65">
        <f t="shared" si="1"/>
      </c>
      <c r="P65">
        <f t="shared" si="2"/>
      </c>
      <c r="Q65" s="310">
        <v>64</v>
      </c>
      <c r="R65" s="310" t="s">
        <v>721</v>
      </c>
      <c r="S65" s="312">
        <v>434</v>
      </c>
      <c r="T65" s="312">
        <v>470</v>
      </c>
      <c r="U65" s="312">
        <v>434</v>
      </c>
      <c r="V65" s="312">
        <v>233</v>
      </c>
      <c r="W65" s="312">
        <v>257</v>
      </c>
      <c r="X65" s="312">
        <v>209</v>
      </c>
      <c r="Y65" s="312">
        <v>204</v>
      </c>
      <c r="Z65" s="312">
        <v>210</v>
      </c>
      <c r="AA65" s="312">
        <v>299</v>
      </c>
      <c r="AB65" s="312">
        <v>422</v>
      </c>
      <c r="AC65" s="312">
        <v>793</v>
      </c>
      <c r="AD65" s="312">
        <v>1168</v>
      </c>
      <c r="AE65" s="312">
        <v>976</v>
      </c>
      <c r="AF65" s="312">
        <v>1322</v>
      </c>
      <c r="AG65" s="312">
        <v>759</v>
      </c>
      <c r="AH65" s="312">
        <v>573</v>
      </c>
      <c r="AI65" s="312">
        <v>526</v>
      </c>
      <c r="AJ65" s="312">
        <v>459</v>
      </c>
      <c r="AK65" s="312">
        <v>305</v>
      </c>
      <c r="AL65" s="313">
        <v>278</v>
      </c>
      <c r="AM65" s="313">
        <v>427</v>
      </c>
      <c r="AN65" s="313">
        <v>661</v>
      </c>
      <c r="AO65" s="313">
        <v>1000</v>
      </c>
      <c r="AP65" s="313">
        <v>1395</v>
      </c>
      <c r="AQ65" s="314">
        <v>1362</v>
      </c>
      <c r="AR65" s="315">
        <v>1016</v>
      </c>
      <c r="AS65" s="315">
        <v>739</v>
      </c>
      <c r="AT65" s="315">
        <v>623</v>
      </c>
      <c r="AU65" s="315">
        <v>542</v>
      </c>
      <c r="AV65" s="315">
        <v>446</v>
      </c>
      <c r="AW65" s="315">
        <v>345</v>
      </c>
      <c r="AX65" s="315">
        <v>301</v>
      </c>
      <c r="AY65" s="315">
        <v>361</v>
      </c>
      <c r="AZ65" s="315">
        <v>755</v>
      </c>
      <c r="BA65" s="315">
        <v>1256</v>
      </c>
      <c r="BB65" s="315">
        <v>1514</v>
      </c>
      <c r="BC65" s="315">
        <v>1427</v>
      </c>
      <c r="BD65" s="315">
        <v>1349</v>
      </c>
      <c r="BE65" s="315">
        <v>882</v>
      </c>
      <c r="BF65" s="315">
        <v>687</v>
      </c>
      <c r="BG65" s="315">
        <v>624</v>
      </c>
      <c r="BH65" s="315">
        <v>625</v>
      </c>
      <c r="BI65" s="315">
        <v>432</v>
      </c>
      <c r="BJ65" s="315">
        <v>324</v>
      </c>
      <c r="BK65" s="315">
        <v>381</v>
      </c>
      <c r="BL65" s="315">
        <v>902</v>
      </c>
      <c r="BM65" s="315">
        <v>1233</v>
      </c>
      <c r="BN65" s="315">
        <v>1528</v>
      </c>
      <c r="BO65" s="315">
        <v>1719</v>
      </c>
      <c r="BP65" s="316">
        <v>1197</v>
      </c>
      <c r="BQ65" s="306">
        <v>26331</v>
      </c>
    </row>
    <row customHeight="true" ht="13" r="66">
      <c r="A66" s="304"/>
      <c r="L66" s="321" t="s">
        <v>720</v>
      </c>
      <c r="M66">
        <f t="shared" si="6"/>
      </c>
      <c r="N66">
        <f t="shared" si="0"/>
      </c>
      <c r="O66">
        <f t="shared" si="1"/>
      </c>
      <c r="P66">
        <f t="shared" si="2"/>
      </c>
      <c r="Q66" s="310">
        <v>65</v>
      </c>
      <c r="R66" s="310" t="s">
        <v>721</v>
      </c>
      <c r="S66" s="312">
        <v>431</v>
      </c>
      <c r="T66" s="312">
        <v>465</v>
      </c>
      <c r="U66" s="312">
        <v>424</v>
      </c>
      <c r="V66" s="312">
        <v>229</v>
      </c>
      <c r="W66" s="312">
        <v>256</v>
      </c>
      <c r="X66" s="312">
        <v>209</v>
      </c>
      <c r="Y66" s="312">
        <v>201</v>
      </c>
      <c r="Z66" s="312">
        <v>207</v>
      </c>
      <c r="AA66" s="312">
        <v>293</v>
      </c>
      <c r="AB66" s="312">
        <v>422</v>
      </c>
      <c r="AC66" s="312">
        <v>787</v>
      </c>
      <c r="AD66" s="312">
        <v>1152</v>
      </c>
      <c r="AE66" s="312">
        <v>960</v>
      </c>
      <c r="AF66" s="312">
        <v>1312</v>
      </c>
      <c r="AG66" s="312">
        <v>747</v>
      </c>
      <c r="AH66" s="312">
        <v>562</v>
      </c>
      <c r="AI66" s="312">
        <v>523</v>
      </c>
      <c r="AJ66" s="312">
        <v>456</v>
      </c>
      <c r="AK66" s="312">
        <v>305</v>
      </c>
      <c r="AL66" s="313">
        <v>270</v>
      </c>
      <c r="AM66" s="313">
        <v>413</v>
      </c>
      <c r="AN66" s="313">
        <v>661</v>
      </c>
      <c r="AO66" s="313">
        <v>978</v>
      </c>
      <c r="AP66" s="313">
        <v>1280</v>
      </c>
      <c r="AQ66" s="314">
        <v>1357</v>
      </c>
      <c r="AR66" s="315">
        <v>992</v>
      </c>
      <c r="AS66" s="315">
        <v>736</v>
      </c>
      <c r="AT66" s="315">
        <v>609</v>
      </c>
      <c r="AU66" s="315">
        <v>542</v>
      </c>
      <c r="AV66" s="315">
        <v>446</v>
      </c>
      <c r="AW66" s="315">
        <v>345</v>
      </c>
      <c r="AX66" s="315">
        <v>297</v>
      </c>
      <c r="AY66" s="315">
        <v>361</v>
      </c>
      <c r="AZ66" s="315">
        <v>736</v>
      </c>
      <c r="BA66" s="315">
        <v>1192</v>
      </c>
      <c r="BB66" s="315">
        <v>1476</v>
      </c>
      <c r="BC66" s="315">
        <v>1414</v>
      </c>
      <c r="BD66" s="315">
        <v>1311</v>
      </c>
      <c r="BE66" s="315">
        <v>878</v>
      </c>
      <c r="BF66" s="315">
        <v>681</v>
      </c>
      <c r="BG66" s="315">
        <v>617</v>
      </c>
      <c r="BH66" s="315">
        <v>623</v>
      </c>
      <c r="BI66" s="315">
        <v>430</v>
      </c>
      <c r="BJ66" s="315">
        <v>314</v>
      </c>
      <c r="BK66" s="315">
        <v>375</v>
      </c>
      <c r="BL66" s="315">
        <v>883</v>
      </c>
      <c r="BM66" s="315">
        <v>1200</v>
      </c>
      <c r="BN66" s="315">
        <v>1527</v>
      </c>
      <c r="BO66" s="315">
        <v>1718</v>
      </c>
      <c r="BP66" s="316">
        <v>1170</v>
      </c>
      <c r="BQ66" s="306">
        <v>25832</v>
      </c>
    </row>
    <row customHeight="true" ht="13" r="67">
      <c r="A67" s="304"/>
      <c r="L67" s="321" t="s">
        <v>720</v>
      </c>
      <c r="M67">
        <f t="shared" si="6"/>
      </c>
      <c r="N67">
        <f t="shared" si="0"/>
      </c>
      <c r="O67">
        <f t="shared" si="1"/>
      </c>
      <c r="P67">
        <f t="shared" si="2"/>
      </c>
      <c r="Q67" s="310">
        <v>66</v>
      </c>
      <c r="R67" s="310" t="s">
        <v>721</v>
      </c>
      <c r="S67" s="312">
        <v>423</v>
      </c>
      <c r="T67" s="312">
        <v>465</v>
      </c>
      <c r="U67" s="312">
        <v>422</v>
      </c>
      <c r="V67" s="312">
        <v>223</v>
      </c>
      <c r="W67" s="312">
        <v>252</v>
      </c>
      <c r="X67" s="312">
        <v>208</v>
      </c>
      <c r="Y67" s="312">
        <v>200</v>
      </c>
      <c r="Z67" s="312">
        <v>207</v>
      </c>
      <c r="AA67" s="312">
        <v>291</v>
      </c>
      <c r="AB67" s="312">
        <v>387</v>
      </c>
      <c r="AC67" s="312">
        <v>786</v>
      </c>
      <c r="AD67" s="312">
        <v>1150</v>
      </c>
      <c r="AE67" s="312">
        <v>939</v>
      </c>
      <c r="AF67" s="312">
        <v>1272</v>
      </c>
      <c r="AG67" s="312">
        <v>725</v>
      </c>
      <c r="AH67" s="312">
        <v>557</v>
      </c>
      <c r="AI67" s="312">
        <v>523</v>
      </c>
      <c r="AJ67" s="312">
        <v>455</v>
      </c>
      <c r="AK67" s="312">
        <v>303</v>
      </c>
      <c r="AL67" s="313">
        <v>262</v>
      </c>
      <c r="AM67" s="313">
        <v>400</v>
      </c>
      <c r="AN67" s="313">
        <v>658</v>
      </c>
      <c r="AO67" s="313">
        <v>969</v>
      </c>
      <c r="AP67" s="313">
        <v>1273</v>
      </c>
      <c r="AQ67" s="314">
        <v>1356</v>
      </c>
      <c r="AR67" s="315">
        <v>981</v>
      </c>
      <c r="AS67" s="315">
        <v>711</v>
      </c>
      <c r="AT67" s="315">
        <v>605</v>
      </c>
      <c r="AU67" s="315">
        <v>531</v>
      </c>
      <c r="AV67" s="315">
        <v>440</v>
      </c>
      <c r="AW67" s="315">
        <v>340</v>
      </c>
      <c r="AX67" s="315">
        <v>293</v>
      </c>
      <c r="AY67" s="315">
        <v>359</v>
      </c>
      <c r="AZ67" s="315">
        <v>720</v>
      </c>
      <c r="BA67" s="315">
        <v>1161</v>
      </c>
      <c r="BB67" s="315">
        <v>1470</v>
      </c>
      <c r="BC67" s="315">
        <v>1402</v>
      </c>
      <c r="BD67" s="315">
        <v>1300</v>
      </c>
      <c r="BE67" s="315">
        <v>871</v>
      </c>
      <c r="BF67" s="315">
        <v>680</v>
      </c>
      <c r="BG67" s="315">
        <v>605</v>
      </c>
      <c r="BH67" s="315">
        <v>623</v>
      </c>
      <c r="BI67" s="315">
        <v>423</v>
      </c>
      <c r="BJ67" s="315">
        <v>310</v>
      </c>
      <c r="BK67" s="315">
        <v>368</v>
      </c>
      <c r="BL67" s="315">
        <v>873</v>
      </c>
      <c r="BM67" s="315">
        <v>1183</v>
      </c>
      <c r="BN67" s="315">
        <v>1425</v>
      </c>
      <c r="BO67" s="315">
        <v>1685</v>
      </c>
      <c r="BP67" s="316">
        <v>1128</v>
      </c>
      <c r="BQ67" s="306">
        <v>25405</v>
      </c>
    </row>
    <row customHeight="true" ht="13" r="68">
      <c r="A68" s="304"/>
      <c r="L68" s="321" t="s">
        <v>720</v>
      </c>
      <c r="M68">
        <f t="shared" si="6"/>
      </c>
      <c r="N68">
        <f t="shared" si="0"/>
      </c>
      <c r="O68">
        <f t="shared" si="1"/>
      </c>
      <c r="P68">
        <f t="shared" si="2"/>
      </c>
      <c r="Q68" s="310">
        <v>67</v>
      </c>
      <c r="R68" s="310" t="s">
        <v>721</v>
      </c>
      <c r="S68" s="312">
        <v>422</v>
      </c>
      <c r="T68" s="312">
        <v>461</v>
      </c>
      <c r="U68" s="312">
        <v>417</v>
      </c>
      <c r="V68" s="312">
        <v>223</v>
      </c>
      <c r="W68" s="312">
        <v>234</v>
      </c>
      <c r="X68" s="312">
        <v>208</v>
      </c>
      <c r="Y68" s="312">
        <v>199</v>
      </c>
      <c r="Z68" s="312">
        <v>207</v>
      </c>
      <c r="AA68" s="312">
        <v>290</v>
      </c>
      <c r="AB68" s="312">
        <v>384</v>
      </c>
      <c r="AC68" s="312">
        <v>783</v>
      </c>
      <c r="AD68" s="312">
        <v>1136</v>
      </c>
      <c r="AE68" s="312">
        <v>925</v>
      </c>
      <c r="AF68" s="312">
        <v>1270</v>
      </c>
      <c r="AG68" s="312">
        <v>718</v>
      </c>
      <c r="AH68" s="312">
        <v>555</v>
      </c>
      <c r="AI68" s="312">
        <v>518</v>
      </c>
      <c r="AJ68" s="312">
        <v>452</v>
      </c>
      <c r="AK68" s="312">
        <v>300</v>
      </c>
      <c r="AL68" s="313">
        <v>244</v>
      </c>
      <c r="AM68" s="313">
        <v>394</v>
      </c>
      <c r="AN68" s="313">
        <v>655</v>
      </c>
      <c r="AO68" s="313">
        <v>967</v>
      </c>
      <c r="AP68" s="313">
        <v>1269</v>
      </c>
      <c r="AQ68" s="314">
        <v>1320</v>
      </c>
      <c r="AR68" s="315">
        <v>976</v>
      </c>
      <c r="AS68" s="315">
        <v>709</v>
      </c>
      <c r="AT68" s="315">
        <v>600</v>
      </c>
      <c r="AU68" s="315">
        <v>527</v>
      </c>
      <c r="AV68" s="315">
        <v>434</v>
      </c>
      <c r="AW68" s="315">
        <v>331</v>
      </c>
      <c r="AX68" s="315">
        <v>291</v>
      </c>
      <c r="AY68" s="315">
        <v>358</v>
      </c>
      <c r="AZ68" s="315">
        <v>714</v>
      </c>
      <c r="BA68" s="315">
        <v>1113</v>
      </c>
      <c r="BB68" s="315">
        <v>1418</v>
      </c>
      <c r="BC68" s="315">
        <v>1400</v>
      </c>
      <c r="BD68" s="315">
        <v>1283</v>
      </c>
      <c r="BE68" s="315">
        <v>871</v>
      </c>
      <c r="BF68" s="315">
        <v>675</v>
      </c>
      <c r="BG68" s="315">
        <v>597</v>
      </c>
      <c r="BH68" s="315">
        <v>592</v>
      </c>
      <c r="BI68" s="315">
        <v>418</v>
      </c>
      <c r="BJ68" s="315">
        <v>308</v>
      </c>
      <c r="BK68" s="315">
        <v>367</v>
      </c>
      <c r="BL68" s="315">
        <v>872</v>
      </c>
      <c r="BM68" s="315">
        <v>1170</v>
      </c>
      <c r="BN68" s="315">
        <v>1423</v>
      </c>
      <c r="BO68" s="315">
        <v>1666</v>
      </c>
      <c r="BP68" s="316">
        <v>1110</v>
      </c>
      <c r="BQ68" s="306">
        <v>25072</v>
      </c>
    </row>
    <row customHeight="true" ht="13" r="69">
      <c r="A69" s="304"/>
      <c r="L69" s="321" t="s">
        <v>720</v>
      </c>
      <c r="M69">
        <f t="shared" si="6"/>
      </c>
      <c r="N69">
        <f t="shared" si="0"/>
      </c>
      <c r="O69">
        <f t="shared" si="1"/>
      </c>
      <c r="P69">
        <f t="shared" si="2"/>
      </c>
      <c r="Q69" s="310">
        <v>68</v>
      </c>
      <c r="R69" s="310" t="s">
        <v>721</v>
      </c>
      <c r="S69" s="312">
        <v>413</v>
      </c>
      <c r="T69" s="312">
        <v>459</v>
      </c>
      <c r="U69" s="312">
        <v>417</v>
      </c>
      <c r="V69" s="312">
        <v>208</v>
      </c>
      <c r="W69" s="312">
        <v>229</v>
      </c>
      <c r="X69" s="312">
        <v>208</v>
      </c>
      <c r="Y69" s="312">
        <v>196</v>
      </c>
      <c r="Z69" s="312">
        <v>207</v>
      </c>
      <c r="AA69" s="312">
        <v>286</v>
      </c>
      <c r="AB69" s="312">
        <v>381</v>
      </c>
      <c r="AC69" s="312">
        <v>782</v>
      </c>
      <c r="AD69" s="312">
        <v>1123</v>
      </c>
      <c r="AE69" s="312">
        <v>923</v>
      </c>
      <c r="AF69" s="312">
        <v>1250</v>
      </c>
      <c r="AG69" s="312">
        <v>702</v>
      </c>
      <c r="AH69" s="312">
        <v>542</v>
      </c>
      <c r="AI69" s="312">
        <v>515</v>
      </c>
      <c r="AJ69" s="312">
        <v>448</v>
      </c>
      <c r="AK69" s="312">
        <v>296</v>
      </c>
      <c r="AL69" s="313">
        <v>242</v>
      </c>
      <c r="AM69" s="313">
        <v>394</v>
      </c>
      <c r="AN69" s="313">
        <v>653</v>
      </c>
      <c r="AO69" s="313">
        <v>963</v>
      </c>
      <c r="AP69" s="313">
        <v>1245</v>
      </c>
      <c r="AQ69" s="314">
        <v>1268</v>
      </c>
      <c r="AR69" s="315">
        <v>967</v>
      </c>
      <c r="AS69" s="315">
        <v>702</v>
      </c>
      <c r="AT69" s="315">
        <v>594</v>
      </c>
      <c r="AU69" s="315">
        <v>522</v>
      </c>
      <c r="AV69" s="315">
        <v>426</v>
      </c>
      <c r="AW69" s="315">
        <v>324</v>
      </c>
      <c r="AX69" s="315">
        <v>290</v>
      </c>
      <c r="AY69" s="315">
        <v>347</v>
      </c>
      <c r="AZ69" s="315">
        <v>710</v>
      </c>
      <c r="BA69" s="315">
        <v>1104</v>
      </c>
      <c r="BB69" s="315">
        <v>1403</v>
      </c>
      <c r="BC69" s="315">
        <v>1392</v>
      </c>
      <c r="BD69" s="315">
        <v>1250</v>
      </c>
      <c r="BE69" s="315">
        <v>864</v>
      </c>
      <c r="BF69" s="315">
        <v>661</v>
      </c>
      <c r="BG69" s="315">
        <v>581</v>
      </c>
      <c r="BH69" s="315">
        <v>590</v>
      </c>
      <c r="BI69" s="315">
        <v>403</v>
      </c>
      <c r="BJ69" s="315">
        <v>303</v>
      </c>
      <c r="BK69" s="315">
        <v>367</v>
      </c>
      <c r="BL69" s="315">
        <v>871</v>
      </c>
      <c r="BM69" s="315">
        <v>1165</v>
      </c>
      <c r="BN69" s="315">
        <v>1406</v>
      </c>
      <c r="BO69" s="315">
        <v>1657</v>
      </c>
      <c r="BP69" s="316">
        <v>1103</v>
      </c>
      <c r="BQ69" s="306">
        <v>24767</v>
      </c>
    </row>
    <row customHeight="true" ht="13" r="70">
      <c r="A70" s="304"/>
      <c r="L70" s="321" t="s">
        <v>720</v>
      </c>
      <c r="M70">
        <f t="shared" si="6"/>
      </c>
      <c r="N70">
        <f t="shared" si="0"/>
      </c>
      <c r="O70">
        <f t="shared" si="1"/>
      </c>
      <c r="P70">
        <f t="shared" si="2"/>
      </c>
      <c r="Q70" s="310">
        <v>69</v>
      </c>
      <c r="R70" s="310" t="s">
        <v>722</v>
      </c>
      <c r="S70" s="312">
        <v>404</v>
      </c>
      <c r="T70" s="312">
        <v>434</v>
      </c>
      <c r="U70" s="312">
        <v>407</v>
      </c>
      <c r="V70" s="312">
        <v>204</v>
      </c>
      <c r="W70" s="312">
        <v>228</v>
      </c>
      <c r="X70" s="312">
        <v>204</v>
      </c>
      <c r="Y70" s="312">
        <v>195</v>
      </c>
      <c r="Z70" s="312">
        <v>206</v>
      </c>
      <c r="AA70" s="312">
        <v>276</v>
      </c>
      <c r="AB70" s="312">
        <v>371</v>
      </c>
      <c r="AC70" s="312">
        <v>779</v>
      </c>
      <c r="AD70" s="312">
        <v>1111</v>
      </c>
      <c r="AE70" s="312">
        <v>910</v>
      </c>
      <c r="AF70" s="312">
        <v>1214</v>
      </c>
      <c r="AG70" s="312">
        <v>699</v>
      </c>
      <c r="AH70" s="312">
        <v>540</v>
      </c>
      <c r="AI70" s="312">
        <v>514</v>
      </c>
      <c r="AJ70" s="312">
        <v>444</v>
      </c>
      <c r="AK70" s="312">
        <v>278</v>
      </c>
      <c r="AL70" s="313">
        <v>239</v>
      </c>
      <c r="AM70" s="313">
        <v>394</v>
      </c>
      <c r="AN70" s="313">
        <v>651</v>
      </c>
      <c r="AO70" s="313">
        <v>962</v>
      </c>
      <c r="AP70" s="313">
        <v>1244</v>
      </c>
      <c r="AQ70" s="314">
        <v>1226</v>
      </c>
      <c r="AR70" s="315">
        <v>931</v>
      </c>
      <c r="AS70" s="315">
        <v>700</v>
      </c>
      <c r="AT70" s="315">
        <v>594</v>
      </c>
      <c r="AU70" s="315">
        <v>522</v>
      </c>
      <c r="AV70" s="315">
        <v>418</v>
      </c>
      <c r="AW70" s="315">
        <v>318</v>
      </c>
      <c r="AX70" s="315">
        <v>277</v>
      </c>
      <c r="AY70" s="315">
        <v>337</v>
      </c>
      <c r="AZ70" s="315">
        <v>705</v>
      </c>
      <c r="BA70" s="315">
        <v>1086</v>
      </c>
      <c r="BB70" s="315">
        <v>1369</v>
      </c>
      <c r="BC70" s="315">
        <v>1359</v>
      </c>
      <c r="BD70" s="315">
        <v>1249</v>
      </c>
      <c r="BE70" s="315">
        <v>839</v>
      </c>
      <c r="BF70" s="315">
        <v>656</v>
      </c>
      <c r="BG70" s="315">
        <v>580</v>
      </c>
      <c r="BH70" s="315">
        <v>580</v>
      </c>
      <c r="BI70" s="315">
        <v>400</v>
      </c>
      <c r="BJ70" s="315">
        <v>294</v>
      </c>
      <c r="BK70" s="315">
        <v>365</v>
      </c>
      <c r="BL70" s="315">
        <v>869</v>
      </c>
      <c r="BM70" s="315">
        <v>1158</v>
      </c>
      <c r="BN70" s="315">
        <v>1393</v>
      </c>
      <c r="BO70" s="315">
        <v>1624</v>
      </c>
      <c r="BP70" s="316">
        <v>1101</v>
      </c>
      <c r="BQ70" s="306">
        <v>24440</v>
      </c>
    </row>
    <row customHeight="true" ht="13" r="71">
      <c r="A71" s="304"/>
      <c r="L71" s="321" t="s">
        <v>720</v>
      </c>
      <c r="M71">
        <f t="shared" si="6"/>
      </c>
      <c r="N71">
        <f t="shared" si="0"/>
      </c>
      <c r="O71">
        <f t="shared" si="1"/>
      </c>
      <c r="P71">
        <f t="shared" si="2"/>
      </c>
      <c r="Q71" s="310">
        <v>70</v>
      </c>
      <c r="R71" s="310" t="s">
        <v>722</v>
      </c>
      <c r="S71" s="312">
        <v>394</v>
      </c>
      <c r="T71" s="312">
        <v>434</v>
      </c>
      <c r="U71" s="312">
        <v>396</v>
      </c>
      <c r="V71" s="312">
        <v>189</v>
      </c>
      <c r="W71" s="312">
        <v>225</v>
      </c>
      <c r="X71" s="312">
        <v>203</v>
      </c>
      <c r="Y71" s="312">
        <v>195</v>
      </c>
      <c r="Z71" s="312">
        <v>200</v>
      </c>
      <c r="AA71" s="312">
        <v>274</v>
      </c>
      <c r="AB71" s="312">
        <v>369</v>
      </c>
      <c r="AC71" s="312">
        <v>777</v>
      </c>
      <c r="AD71" s="312">
        <v>1076</v>
      </c>
      <c r="AE71" s="312">
        <v>898</v>
      </c>
      <c r="AF71" s="312">
        <v>1087</v>
      </c>
      <c r="AG71" s="312">
        <v>697</v>
      </c>
      <c r="AH71" s="312">
        <v>536</v>
      </c>
      <c r="AI71" s="312">
        <v>513</v>
      </c>
      <c r="AJ71" s="312">
        <v>442</v>
      </c>
      <c r="AK71" s="312">
        <v>277</v>
      </c>
      <c r="AL71" s="313">
        <v>232</v>
      </c>
      <c r="AM71" s="313">
        <v>392</v>
      </c>
      <c r="AN71" s="313">
        <v>640</v>
      </c>
      <c r="AO71" s="313">
        <v>934</v>
      </c>
      <c r="AP71" s="313">
        <v>1228</v>
      </c>
      <c r="AQ71" s="314">
        <v>1195</v>
      </c>
      <c r="AR71" s="315">
        <v>929</v>
      </c>
      <c r="AS71" s="315">
        <v>696</v>
      </c>
      <c r="AT71" s="315">
        <v>592</v>
      </c>
      <c r="AU71" s="315">
        <v>514</v>
      </c>
      <c r="AV71" s="315">
        <v>411</v>
      </c>
      <c r="AW71" s="315">
        <v>317</v>
      </c>
      <c r="AX71" s="315">
        <v>275</v>
      </c>
      <c r="AY71" s="315">
        <v>337</v>
      </c>
      <c r="AZ71" s="315">
        <v>701</v>
      </c>
      <c r="BA71" s="315">
        <v>1085</v>
      </c>
      <c r="BB71" s="315">
        <v>1368</v>
      </c>
      <c r="BC71" s="315">
        <v>1354</v>
      </c>
      <c r="BD71" s="315">
        <v>1243</v>
      </c>
      <c r="BE71" s="315">
        <v>838</v>
      </c>
      <c r="BF71" s="315">
        <v>652</v>
      </c>
      <c r="BG71" s="315">
        <v>573</v>
      </c>
      <c r="BH71" s="315">
        <v>564</v>
      </c>
      <c r="BI71" s="315">
        <v>383</v>
      </c>
      <c r="BJ71" s="315">
        <v>293</v>
      </c>
      <c r="BK71" s="315">
        <v>359</v>
      </c>
      <c r="BL71" s="315">
        <v>837</v>
      </c>
      <c r="BM71" s="315">
        <v>1158</v>
      </c>
      <c r="BN71" s="315">
        <v>1391</v>
      </c>
      <c r="BO71" s="315">
        <v>1588</v>
      </c>
      <c r="BP71" s="316">
        <v>1080</v>
      </c>
      <c r="BQ71" s="306">
        <v>24159</v>
      </c>
    </row>
    <row customHeight="true" ht="13" r="72">
      <c r="A72" s="304"/>
      <c r="L72" s="321" t="s">
        <v>720</v>
      </c>
      <c r="M72">
        <f t="shared" si="6"/>
      </c>
      <c r="N72">
        <f t="shared" si="0"/>
      </c>
      <c r="O72">
        <f t="shared" si="1"/>
      </c>
      <c r="P72">
        <f t="shared" si="2"/>
      </c>
      <c r="Q72" s="310">
        <v>71</v>
      </c>
      <c r="R72" s="310" t="s">
        <v>722</v>
      </c>
      <c r="S72" s="312">
        <v>383</v>
      </c>
      <c r="T72" s="312">
        <v>433</v>
      </c>
      <c r="U72" s="312">
        <v>396</v>
      </c>
      <c r="V72" s="312">
        <v>181</v>
      </c>
      <c r="W72" s="312">
        <v>224</v>
      </c>
      <c r="X72" s="312">
        <v>200</v>
      </c>
      <c r="Y72" s="312">
        <v>193</v>
      </c>
      <c r="Z72" s="312">
        <v>198</v>
      </c>
      <c r="AA72" s="312">
        <v>271</v>
      </c>
      <c r="AB72" s="312">
        <v>368</v>
      </c>
      <c r="AC72" s="312">
        <v>776</v>
      </c>
      <c r="AD72" s="312">
        <v>1064</v>
      </c>
      <c r="AE72" s="312">
        <v>892</v>
      </c>
      <c r="AF72" s="312">
        <v>1085</v>
      </c>
      <c r="AG72" s="312">
        <v>696</v>
      </c>
      <c r="AH72" s="312">
        <v>535</v>
      </c>
      <c r="AI72" s="312">
        <v>511</v>
      </c>
      <c r="AJ72" s="312">
        <v>440</v>
      </c>
      <c r="AK72" s="312">
        <v>271</v>
      </c>
      <c r="AL72" s="313">
        <v>231</v>
      </c>
      <c r="AM72" s="313">
        <v>386</v>
      </c>
      <c r="AN72" s="313">
        <v>612</v>
      </c>
      <c r="AO72" s="313">
        <v>928</v>
      </c>
      <c r="AP72" s="313">
        <v>1161</v>
      </c>
      <c r="AQ72" s="314">
        <v>1188</v>
      </c>
      <c r="AR72" s="315">
        <v>921</v>
      </c>
      <c r="AS72" s="315">
        <v>693</v>
      </c>
      <c r="AT72" s="315">
        <v>587</v>
      </c>
      <c r="AU72" s="315">
        <v>512</v>
      </c>
      <c r="AV72" s="315">
        <v>400</v>
      </c>
      <c r="AW72" s="315">
        <v>310</v>
      </c>
      <c r="AX72" s="315">
        <v>272</v>
      </c>
      <c r="AY72" s="315">
        <v>333</v>
      </c>
      <c r="AZ72" s="315">
        <v>685</v>
      </c>
      <c r="BA72" s="315">
        <v>1082</v>
      </c>
      <c r="BB72" s="315">
        <v>1319</v>
      </c>
      <c r="BC72" s="315">
        <v>1350</v>
      </c>
      <c r="BD72" s="315">
        <v>1242</v>
      </c>
      <c r="BE72" s="315">
        <v>834</v>
      </c>
      <c r="BF72" s="315">
        <v>651</v>
      </c>
      <c r="BG72" s="315">
        <v>550</v>
      </c>
      <c r="BH72" s="315">
        <v>558</v>
      </c>
      <c r="BI72" s="315">
        <v>374</v>
      </c>
      <c r="BJ72" s="315">
        <v>292</v>
      </c>
      <c r="BK72" s="315">
        <v>353</v>
      </c>
      <c r="BL72" s="315">
        <v>836</v>
      </c>
      <c r="BM72" s="315">
        <v>1145</v>
      </c>
      <c r="BN72" s="315">
        <v>1381</v>
      </c>
      <c r="BO72" s="315">
        <v>1552</v>
      </c>
      <c r="BP72" s="316">
        <v>1073</v>
      </c>
      <c r="BQ72" s="306">
        <v>23811</v>
      </c>
    </row>
    <row customHeight="true" ht="13" r="73">
      <c r="A73" s="304"/>
      <c r="L73" s="321" t="s">
        <v>720</v>
      </c>
      <c r="M73">
        <f t="shared" si="6"/>
      </c>
      <c r="N73">
        <f t="shared" si="0"/>
      </c>
      <c r="O73">
        <f t="shared" si="1"/>
      </c>
      <c r="P73">
        <f t="shared" si="2"/>
      </c>
      <c r="Q73" s="310">
        <v>72</v>
      </c>
      <c r="R73" s="310" t="s">
        <v>722</v>
      </c>
      <c r="S73" s="312">
        <v>380</v>
      </c>
      <c r="T73" s="312">
        <v>430</v>
      </c>
      <c r="U73" s="312">
        <v>395</v>
      </c>
      <c r="V73" s="312">
        <v>173</v>
      </c>
      <c r="W73" s="312">
        <v>221</v>
      </c>
      <c r="X73" s="312">
        <v>200</v>
      </c>
      <c r="Y73" s="312">
        <v>191</v>
      </c>
      <c r="Z73" s="312">
        <v>194</v>
      </c>
      <c r="AA73" s="312">
        <v>269</v>
      </c>
      <c r="AB73" s="312">
        <v>356</v>
      </c>
      <c r="AC73" s="312">
        <v>768</v>
      </c>
      <c r="AD73" s="312">
        <v>986</v>
      </c>
      <c r="AE73" s="312">
        <v>890</v>
      </c>
      <c r="AF73" s="312">
        <v>1064</v>
      </c>
      <c r="AG73" s="312">
        <v>694</v>
      </c>
      <c r="AH73" s="312">
        <v>528</v>
      </c>
      <c r="AI73" s="312">
        <v>503</v>
      </c>
      <c r="AJ73" s="312">
        <v>435</v>
      </c>
      <c r="AK73" s="312">
        <v>270</v>
      </c>
      <c r="AL73" s="313">
        <v>230</v>
      </c>
      <c r="AM73" s="313">
        <v>386</v>
      </c>
      <c r="AN73" s="313">
        <v>609</v>
      </c>
      <c r="AO73" s="313">
        <v>927</v>
      </c>
      <c r="AP73" s="313">
        <v>1156</v>
      </c>
      <c r="AQ73" s="314">
        <v>1162</v>
      </c>
      <c r="AR73" s="315">
        <v>918</v>
      </c>
      <c r="AS73" s="315">
        <v>688</v>
      </c>
      <c r="AT73" s="315">
        <v>585</v>
      </c>
      <c r="AU73" s="315">
        <v>511</v>
      </c>
      <c r="AV73" s="315">
        <v>398</v>
      </c>
      <c r="AW73" s="315">
        <v>309</v>
      </c>
      <c r="AX73" s="315">
        <v>271</v>
      </c>
      <c r="AY73" s="315">
        <v>330</v>
      </c>
      <c r="AZ73" s="315">
        <v>682</v>
      </c>
      <c r="BA73" s="315">
        <v>1080</v>
      </c>
      <c r="BB73" s="315">
        <v>1310</v>
      </c>
      <c r="BC73" s="315">
        <v>1332</v>
      </c>
      <c r="BD73" s="315">
        <v>1201</v>
      </c>
      <c r="BE73" s="315">
        <v>829</v>
      </c>
      <c r="BF73" s="315">
        <v>648</v>
      </c>
      <c r="BG73" s="315">
        <v>539</v>
      </c>
      <c r="BH73" s="315">
        <v>547</v>
      </c>
      <c r="BI73" s="315">
        <v>374</v>
      </c>
      <c r="BJ73" s="315">
        <v>286</v>
      </c>
      <c r="BK73" s="315">
        <v>349</v>
      </c>
      <c r="BL73" s="315">
        <v>822</v>
      </c>
      <c r="BM73" s="315">
        <v>1126</v>
      </c>
      <c r="BN73" s="315">
        <v>1363</v>
      </c>
      <c r="BO73" s="315">
        <v>1539</v>
      </c>
      <c r="BP73" s="316">
        <v>1056</v>
      </c>
      <c r="BQ73" s="306">
        <v>23563</v>
      </c>
    </row>
    <row customHeight="true" ht="13" r="74">
      <c r="A74" s="304"/>
      <c r="L74" s="321" t="s">
        <v>720</v>
      </c>
      <c r="M74">
        <f t="shared" si="6"/>
      </c>
      <c r="N74">
        <f t="shared" si="0"/>
      </c>
      <c r="O74">
        <f t="shared" si="1"/>
      </c>
      <c r="P74">
        <f t="shared" si="2"/>
      </c>
      <c r="Q74" s="310">
        <v>73</v>
      </c>
      <c r="R74" s="310" t="s">
        <v>722</v>
      </c>
      <c r="S74" s="312">
        <v>368</v>
      </c>
      <c r="T74" s="312">
        <v>428</v>
      </c>
      <c r="U74" s="312">
        <v>381</v>
      </c>
      <c r="V74" s="312">
        <v>171</v>
      </c>
      <c r="W74" s="312">
        <v>220</v>
      </c>
      <c r="X74" s="312">
        <v>197</v>
      </c>
      <c r="Y74" s="312">
        <v>189</v>
      </c>
      <c r="Z74" s="312">
        <v>193</v>
      </c>
      <c r="AA74" s="312">
        <v>268</v>
      </c>
      <c r="AB74" s="312">
        <v>348</v>
      </c>
      <c r="AC74" s="312">
        <v>766</v>
      </c>
      <c r="AD74" s="312">
        <v>978</v>
      </c>
      <c r="AE74" s="312">
        <v>882</v>
      </c>
      <c r="AF74" s="312">
        <v>1030</v>
      </c>
      <c r="AG74" s="312">
        <v>668</v>
      </c>
      <c r="AH74" s="312">
        <v>527</v>
      </c>
      <c r="AI74" s="312">
        <v>503</v>
      </c>
      <c r="AJ74" s="312">
        <v>429</v>
      </c>
      <c r="AK74" s="312">
        <v>263</v>
      </c>
      <c r="AL74" s="313">
        <v>230</v>
      </c>
      <c r="AM74" s="313">
        <v>385</v>
      </c>
      <c r="AN74" s="313">
        <v>594</v>
      </c>
      <c r="AO74" s="313">
        <v>912</v>
      </c>
      <c r="AP74" s="313">
        <v>1139</v>
      </c>
      <c r="AQ74" s="314">
        <v>1162</v>
      </c>
      <c r="AR74" s="315">
        <v>918</v>
      </c>
      <c r="AS74" s="315">
        <v>687</v>
      </c>
      <c r="AT74" s="315">
        <v>582</v>
      </c>
      <c r="AU74" s="315">
        <v>510</v>
      </c>
      <c r="AV74" s="315">
        <v>397</v>
      </c>
      <c r="AW74" s="315">
        <v>298</v>
      </c>
      <c r="AX74" s="315">
        <v>271</v>
      </c>
      <c r="AY74" s="315">
        <v>329</v>
      </c>
      <c r="AZ74" s="315">
        <v>680</v>
      </c>
      <c r="BA74" s="315">
        <v>1077</v>
      </c>
      <c r="BB74" s="315">
        <v>1308</v>
      </c>
      <c r="BC74" s="315">
        <v>1323</v>
      </c>
      <c r="BD74" s="315">
        <v>1141</v>
      </c>
      <c r="BE74" s="315">
        <v>825</v>
      </c>
      <c r="BF74" s="315">
        <v>648</v>
      </c>
      <c r="BG74" s="315">
        <v>535</v>
      </c>
      <c r="BH74" s="315">
        <v>539</v>
      </c>
      <c r="BI74" s="315">
        <v>373</v>
      </c>
      <c r="BJ74" s="315">
        <v>283</v>
      </c>
      <c r="BK74" s="315">
        <v>340</v>
      </c>
      <c r="BL74" s="315">
        <v>803</v>
      </c>
      <c r="BM74" s="315">
        <v>1122</v>
      </c>
      <c r="BN74" s="315">
        <v>1347</v>
      </c>
      <c r="BO74" s="315">
        <v>1534</v>
      </c>
      <c r="BP74" s="316">
        <v>1041</v>
      </c>
      <c r="BQ74" s="306">
        <v>23333</v>
      </c>
    </row>
    <row customHeight="true" ht="13" r="75">
      <c r="A75" s="304"/>
      <c r="L75" s="321" t="s">
        <v>720</v>
      </c>
      <c r="M75">
        <f t="shared" si="6"/>
      </c>
      <c r="N75">
        <f t="shared" si="0"/>
      </c>
      <c r="O75">
        <f t="shared" si="1"/>
      </c>
      <c r="P75">
        <f t="shared" si="2"/>
      </c>
      <c r="Q75" s="310">
        <v>74</v>
      </c>
      <c r="R75" s="310" t="s">
        <v>722</v>
      </c>
      <c r="S75" s="312">
        <v>365</v>
      </c>
      <c r="T75" s="312">
        <v>414</v>
      </c>
      <c r="U75" s="312">
        <v>378</v>
      </c>
      <c r="V75" s="312">
        <v>169</v>
      </c>
      <c r="W75" s="312">
        <v>214</v>
      </c>
      <c r="X75" s="312">
        <v>195</v>
      </c>
      <c r="Y75" s="312">
        <v>185</v>
      </c>
      <c r="Z75" s="312">
        <v>192</v>
      </c>
      <c r="AA75" s="312">
        <v>266</v>
      </c>
      <c r="AB75" s="312">
        <v>346</v>
      </c>
      <c r="AC75" s="312">
        <v>763</v>
      </c>
      <c r="AD75" s="312">
        <v>978</v>
      </c>
      <c r="AE75" s="312">
        <v>880</v>
      </c>
      <c r="AF75" s="312">
        <v>1004</v>
      </c>
      <c r="AG75" s="312">
        <v>662</v>
      </c>
      <c r="AH75" s="312">
        <v>526</v>
      </c>
      <c r="AI75" s="312">
        <v>492</v>
      </c>
      <c r="AJ75" s="312">
        <v>426</v>
      </c>
      <c r="AK75" s="312">
        <v>260</v>
      </c>
      <c r="AL75" s="313">
        <v>229</v>
      </c>
      <c r="AM75" s="313">
        <v>383</v>
      </c>
      <c r="AN75" s="313">
        <v>590</v>
      </c>
      <c r="AO75" s="313">
        <v>853</v>
      </c>
      <c r="AP75" s="313">
        <v>1118</v>
      </c>
      <c r="AQ75" s="314">
        <v>1147</v>
      </c>
      <c r="AR75" s="315">
        <v>918</v>
      </c>
      <c r="AS75" s="315">
        <v>662</v>
      </c>
      <c r="AT75" s="315">
        <v>569</v>
      </c>
      <c r="AU75" s="315">
        <v>505</v>
      </c>
      <c r="AV75" s="315">
        <v>392</v>
      </c>
      <c r="AW75" s="315">
        <v>298</v>
      </c>
      <c r="AX75" s="315">
        <v>271</v>
      </c>
      <c r="AY75" s="315">
        <v>329</v>
      </c>
      <c r="AZ75" s="315">
        <v>672</v>
      </c>
      <c r="BA75" s="315">
        <v>1072</v>
      </c>
      <c r="BB75" s="315">
        <v>1296</v>
      </c>
      <c r="BC75" s="315">
        <v>1317</v>
      </c>
      <c r="BD75" s="315">
        <v>1140</v>
      </c>
      <c r="BE75" s="315">
        <v>820</v>
      </c>
      <c r="BF75" s="315">
        <v>634</v>
      </c>
      <c r="BG75" s="315">
        <v>524</v>
      </c>
      <c r="BH75" s="315">
        <v>537</v>
      </c>
      <c r="BI75" s="315">
        <v>372</v>
      </c>
      <c r="BJ75" s="315">
        <v>281</v>
      </c>
      <c r="BK75" s="315">
        <v>338</v>
      </c>
      <c r="BL75" s="315">
        <v>795</v>
      </c>
      <c r="BM75" s="315">
        <v>1121</v>
      </c>
      <c r="BN75" s="315">
        <v>1345</v>
      </c>
      <c r="BO75" s="315">
        <v>1495</v>
      </c>
      <c r="BP75" s="316">
        <v>1035</v>
      </c>
      <c r="BQ75" s="306">
        <v>23058</v>
      </c>
    </row>
    <row customHeight="true" ht="13" r="76">
      <c r="A76" s="304"/>
      <c r="L76" s="321" t="s">
        <v>720</v>
      </c>
      <c r="M76">
        <f t="shared" si="6"/>
      </c>
      <c r="N76">
        <f t="shared" si="0"/>
      </c>
      <c r="O76">
        <f t="shared" si="1"/>
      </c>
      <c r="P76">
        <f t="shared" si="2"/>
      </c>
      <c r="Q76" s="310">
        <v>75</v>
      </c>
      <c r="R76" s="310" t="s">
        <v>722</v>
      </c>
      <c r="S76" s="312">
        <v>352</v>
      </c>
      <c r="T76" s="312">
        <v>406</v>
      </c>
      <c r="U76" s="312">
        <v>372</v>
      </c>
      <c r="V76" s="312">
        <v>154</v>
      </c>
      <c r="W76" s="312">
        <v>211</v>
      </c>
      <c r="X76" s="312">
        <v>190</v>
      </c>
      <c r="Y76" s="312">
        <v>185</v>
      </c>
      <c r="Z76" s="312">
        <v>190</v>
      </c>
      <c r="AA76" s="312">
        <v>260</v>
      </c>
      <c r="AB76" s="312">
        <v>344</v>
      </c>
      <c r="AC76" s="312">
        <v>711</v>
      </c>
      <c r="AD76" s="312">
        <v>973</v>
      </c>
      <c r="AE76" s="312">
        <v>850</v>
      </c>
      <c r="AF76" s="312">
        <v>996</v>
      </c>
      <c r="AG76" s="312">
        <v>646</v>
      </c>
      <c r="AH76" s="312">
        <v>526</v>
      </c>
      <c r="AI76" s="312">
        <v>490</v>
      </c>
      <c r="AJ76" s="312">
        <v>425</v>
      </c>
      <c r="AK76" s="312">
        <v>259</v>
      </c>
      <c r="AL76" s="313">
        <v>227</v>
      </c>
      <c r="AM76" s="313">
        <v>377</v>
      </c>
      <c r="AN76" s="313">
        <v>588</v>
      </c>
      <c r="AO76" s="313">
        <v>851</v>
      </c>
      <c r="AP76" s="313">
        <v>1102</v>
      </c>
      <c r="AQ76" s="314">
        <v>1140</v>
      </c>
      <c r="AR76" s="315">
        <v>915</v>
      </c>
      <c r="AS76" s="315">
        <v>662</v>
      </c>
      <c r="AT76" s="315">
        <v>562</v>
      </c>
      <c r="AU76" s="315">
        <v>502</v>
      </c>
      <c r="AV76" s="315">
        <v>389</v>
      </c>
      <c r="AW76" s="315">
        <v>297</v>
      </c>
      <c r="AX76" s="315">
        <v>271</v>
      </c>
      <c r="AY76" s="315">
        <v>329</v>
      </c>
      <c r="AZ76" s="315">
        <v>651</v>
      </c>
      <c r="BA76" s="315">
        <v>1052</v>
      </c>
      <c r="BB76" s="315">
        <v>1288</v>
      </c>
      <c r="BC76" s="315">
        <v>1315</v>
      </c>
      <c r="BD76" s="315">
        <v>1124</v>
      </c>
      <c r="BE76" s="315">
        <v>817</v>
      </c>
      <c r="BF76" s="315">
        <v>609</v>
      </c>
      <c r="BG76" s="315">
        <v>510</v>
      </c>
      <c r="BH76" s="315">
        <v>535</v>
      </c>
      <c r="BI76" s="315">
        <v>369</v>
      </c>
      <c r="BJ76" s="315">
        <v>280</v>
      </c>
      <c r="BK76" s="315">
        <v>333</v>
      </c>
      <c r="BL76" s="315">
        <v>790</v>
      </c>
      <c r="BM76" s="315">
        <v>1111</v>
      </c>
      <c r="BN76" s="315">
        <v>1331</v>
      </c>
      <c r="BO76" s="315">
        <v>1488</v>
      </c>
      <c r="BP76" s="316">
        <v>1027</v>
      </c>
      <c r="BQ76" s="306">
        <v>22842</v>
      </c>
    </row>
    <row customHeight="true" ht="13" r="77">
      <c r="A77" s="304"/>
      <c r="L77" s="321" t="s">
        <v>720</v>
      </c>
      <c r="M77">
        <f t="shared" si="6"/>
      </c>
      <c r="N77">
        <f t="shared" si="0"/>
      </c>
      <c r="O77">
        <f t="shared" si="1"/>
      </c>
      <c r="P77">
        <f t="shared" si="2"/>
      </c>
      <c r="Q77" s="310">
        <v>76</v>
      </c>
      <c r="R77" s="310" t="s">
        <v>722</v>
      </c>
      <c r="S77" s="312">
        <v>348</v>
      </c>
      <c r="T77" s="312">
        <v>406</v>
      </c>
      <c r="U77" s="312">
        <v>346</v>
      </c>
      <c r="V77" s="312">
        <v>151</v>
      </c>
      <c r="W77" s="312">
        <v>210</v>
      </c>
      <c r="X77" s="312">
        <v>189</v>
      </c>
      <c r="Y77" s="312">
        <v>179</v>
      </c>
      <c r="Z77" s="312">
        <v>189</v>
      </c>
      <c r="AA77" s="312">
        <v>259</v>
      </c>
      <c r="AB77" s="312">
        <v>343</v>
      </c>
      <c r="AC77" s="312">
        <v>696</v>
      </c>
      <c r="AD77" s="312">
        <v>971</v>
      </c>
      <c r="AE77" s="312">
        <v>841</v>
      </c>
      <c r="AF77" s="312">
        <v>984</v>
      </c>
      <c r="AG77" s="312">
        <v>637</v>
      </c>
      <c r="AH77" s="312">
        <v>526</v>
      </c>
      <c r="AI77" s="312">
        <v>490</v>
      </c>
      <c r="AJ77" s="312">
        <v>414</v>
      </c>
      <c r="AK77" s="312">
        <v>250</v>
      </c>
      <c r="AL77" s="313">
        <v>226</v>
      </c>
      <c r="AM77" s="313">
        <v>371</v>
      </c>
      <c r="AN77" s="313">
        <v>569</v>
      </c>
      <c r="AO77" s="313">
        <v>848</v>
      </c>
      <c r="AP77" s="313">
        <v>1093</v>
      </c>
      <c r="AQ77" s="314">
        <v>1139</v>
      </c>
      <c r="AR77" s="315">
        <v>912</v>
      </c>
      <c r="AS77" s="315">
        <v>660</v>
      </c>
      <c r="AT77" s="315">
        <v>558</v>
      </c>
      <c r="AU77" s="315">
        <v>498</v>
      </c>
      <c r="AV77" s="315">
        <v>381</v>
      </c>
      <c r="AW77" s="315">
        <v>291</v>
      </c>
      <c r="AX77" s="315">
        <v>269</v>
      </c>
      <c r="AY77" s="315">
        <v>329</v>
      </c>
      <c r="AZ77" s="315">
        <v>649</v>
      </c>
      <c r="BA77" s="315">
        <v>1051</v>
      </c>
      <c r="BB77" s="315">
        <v>1256</v>
      </c>
      <c r="BC77" s="315">
        <v>1288</v>
      </c>
      <c r="BD77" s="315">
        <v>1102</v>
      </c>
      <c r="BE77" s="315">
        <v>814</v>
      </c>
      <c r="BF77" s="315">
        <v>591</v>
      </c>
      <c r="BG77" s="315">
        <v>504</v>
      </c>
      <c r="BH77" s="315">
        <v>527</v>
      </c>
      <c r="BI77" s="315">
        <v>368</v>
      </c>
      <c r="BJ77" s="315">
        <v>277</v>
      </c>
      <c r="BK77" s="315">
        <v>333</v>
      </c>
      <c r="BL77" s="315">
        <v>787</v>
      </c>
      <c r="BM77" s="315">
        <v>1110</v>
      </c>
      <c r="BN77" s="315">
        <v>1300</v>
      </c>
      <c r="BO77" s="315">
        <v>1474</v>
      </c>
      <c r="BP77" s="316">
        <v>1018</v>
      </c>
      <c r="BQ77" s="306">
        <v>22593</v>
      </c>
    </row>
    <row customHeight="true" ht="13" r="78">
      <c r="A78" s="304"/>
      <c r="L78" s="321" t="s">
        <v>720</v>
      </c>
      <c r="M78">
        <f t="shared" si="6"/>
      </c>
      <c r="N78">
        <f t="shared" si="0"/>
      </c>
      <c r="O78">
        <f t="shared" si="1"/>
      </c>
      <c r="P78">
        <f t="shared" si="2"/>
      </c>
      <c r="Q78" s="310">
        <v>77</v>
      </c>
      <c r="R78" s="310" t="s">
        <v>722</v>
      </c>
      <c r="S78" s="312">
        <v>340</v>
      </c>
      <c r="T78" s="312">
        <v>400</v>
      </c>
      <c r="U78" s="312">
        <v>341</v>
      </c>
      <c r="V78" s="312">
        <v>150</v>
      </c>
      <c r="W78" s="312">
        <v>206</v>
      </c>
      <c r="X78" s="312">
        <v>187</v>
      </c>
      <c r="Y78" s="312">
        <v>177</v>
      </c>
      <c r="Z78" s="312">
        <v>189</v>
      </c>
      <c r="AA78" s="312">
        <v>257</v>
      </c>
      <c r="AB78" s="312">
        <v>342</v>
      </c>
      <c r="AC78" s="312">
        <v>693</v>
      </c>
      <c r="AD78" s="312">
        <v>966</v>
      </c>
      <c r="AE78" s="312">
        <v>838</v>
      </c>
      <c r="AF78" s="312">
        <v>969</v>
      </c>
      <c r="AG78" s="312">
        <v>630</v>
      </c>
      <c r="AH78" s="312">
        <v>526</v>
      </c>
      <c r="AI78" s="312">
        <v>490</v>
      </c>
      <c r="AJ78" s="312">
        <v>396</v>
      </c>
      <c r="AK78" s="312">
        <v>244</v>
      </c>
      <c r="AL78" s="313">
        <v>226</v>
      </c>
      <c r="AM78" s="313">
        <v>367</v>
      </c>
      <c r="AN78" s="313">
        <v>566</v>
      </c>
      <c r="AO78" s="313">
        <v>842</v>
      </c>
      <c r="AP78" s="313">
        <v>1073</v>
      </c>
      <c r="AQ78" s="314">
        <v>1138</v>
      </c>
      <c r="AR78" s="315">
        <v>909</v>
      </c>
      <c r="AS78" s="315">
        <v>655</v>
      </c>
      <c r="AT78" s="315">
        <v>556</v>
      </c>
      <c r="AU78" s="315">
        <v>496</v>
      </c>
      <c r="AV78" s="315">
        <v>378</v>
      </c>
      <c r="AW78" s="315">
        <v>289</v>
      </c>
      <c r="AX78" s="315">
        <v>265</v>
      </c>
      <c r="AY78" s="315">
        <v>326</v>
      </c>
      <c r="AZ78" s="315">
        <v>648</v>
      </c>
      <c r="BA78" s="315">
        <v>1011</v>
      </c>
      <c r="BB78" s="315">
        <v>1249</v>
      </c>
      <c r="BC78" s="315">
        <v>1275</v>
      </c>
      <c r="BD78" s="315">
        <v>1099</v>
      </c>
      <c r="BE78" s="315">
        <v>780</v>
      </c>
      <c r="BF78" s="315">
        <v>586</v>
      </c>
      <c r="BG78" s="315">
        <v>487</v>
      </c>
      <c r="BH78" s="315">
        <v>526</v>
      </c>
      <c r="BI78" s="315">
        <v>368</v>
      </c>
      <c r="BJ78" s="315">
        <v>274</v>
      </c>
      <c r="BK78" s="315">
        <v>330</v>
      </c>
      <c r="BL78" s="315">
        <v>759</v>
      </c>
      <c r="BM78" s="315">
        <v>1100</v>
      </c>
      <c r="BN78" s="315">
        <v>1259</v>
      </c>
      <c r="BO78" s="315">
        <v>1454</v>
      </c>
      <c r="BP78" s="316">
        <v>1005</v>
      </c>
      <c r="BQ78" s="306">
        <v>22296</v>
      </c>
    </row>
    <row customHeight="true" ht="13" r="79">
      <c r="A79" s="304"/>
      <c r="L79" s="321" t="s">
        <v>720</v>
      </c>
      <c r="M79">
        <f t="shared" si="6"/>
      </c>
      <c r="N79">
        <f t="shared" si="0"/>
      </c>
      <c r="O79">
        <f t="shared" si="1"/>
      </c>
      <c r="P79">
        <f t="shared" si="2"/>
      </c>
      <c r="Q79" s="310">
        <v>78</v>
      </c>
      <c r="R79" s="310" t="s">
        <v>722</v>
      </c>
      <c r="S79" s="312">
        <v>335</v>
      </c>
      <c r="T79" s="312">
        <v>395</v>
      </c>
      <c r="U79" s="312">
        <v>331</v>
      </c>
      <c r="V79" s="312">
        <v>150</v>
      </c>
      <c r="W79" s="312">
        <v>200</v>
      </c>
      <c r="X79" s="312">
        <v>187</v>
      </c>
      <c r="Y79" s="312">
        <v>176</v>
      </c>
      <c r="Z79" s="312">
        <v>188</v>
      </c>
      <c r="AA79" s="312">
        <v>254</v>
      </c>
      <c r="AB79" s="312">
        <v>332</v>
      </c>
      <c r="AC79" s="312">
        <v>685</v>
      </c>
      <c r="AD79" s="312">
        <v>954</v>
      </c>
      <c r="AE79" s="312">
        <v>828</v>
      </c>
      <c r="AF79" s="312">
        <v>965</v>
      </c>
      <c r="AG79" s="312">
        <v>605</v>
      </c>
      <c r="AH79" s="312">
        <v>526</v>
      </c>
      <c r="AI79" s="312">
        <v>484</v>
      </c>
      <c r="AJ79" s="312">
        <v>381</v>
      </c>
      <c r="AK79" s="312">
        <v>239</v>
      </c>
      <c r="AL79" s="313">
        <v>223</v>
      </c>
      <c r="AM79" s="313">
        <v>362</v>
      </c>
      <c r="AN79" s="313">
        <v>565</v>
      </c>
      <c r="AO79" s="313">
        <v>833</v>
      </c>
      <c r="AP79" s="313">
        <v>1071</v>
      </c>
      <c r="AQ79" s="314">
        <v>1136</v>
      </c>
      <c r="AR79" s="315">
        <v>889</v>
      </c>
      <c r="AS79" s="315">
        <v>644</v>
      </c>
      <c r="AT79" s="315">
        <v>554</v>
      </c>
      <c r="AU79" s="315">
        <v>484</v>
      </c>
      <c r="AV79" s="315">
        <v>372</v>
      </c>
      <c r="AW79" s="315">
        <v>281</v>
      </c>
      <c r="AX79" s="315">
        <v>265</v>
      </c>
      <c r="AY79" s="315">
        <v>318</v>
      </c>
      <c r="AZ79" s="315">
        <v>646</v>
      </c>
      <c r="BA79" s="315">
        <v>1009</v>
      </c>
      <c r="BB79" s="315">
        <v>1222</v>
      </c>
      <c r="BC79" s="315">
        <v>1266</v>
      </c>
      <c r="BD79" s="315">
        <v>1090</v>
      </c>
      <c r="BE79" s="315">
        <v>774</v>
      </c>
      <c r="BF79" s="315">
        <v>580</v>
      </c>
      <c r="BG79" s="315">
        <v>475</v>
      </c>
      <c r="BH79" s="315">
        <v>496</v>
      </c>
      <c r="BI79" s="315">
        <v>366</v>
      </c>
      <c r="BJ79" s="315">
        <v>269</v>
      </c>
      <c r="BK79" s="315">
        <v>327</v>
      </c>
      <c r="BL79" s="315">
        <v>748</v>
      </c>
      <c r="BM79" s="315">
        <v>1098</v>
      </c>
      <c r="BN79" s="315">
        <v>1255</v>
      </c>
      <c r="BO79" s="315">
        <v>1453</v>
      </c>
      <c r="BP79" s="316">
        <v>1001</v>
      </c>
      <c r="BQ79" s="306">
        <v>22072</v>
      </c>
    </row>
    <row customHeight="true" ht="13" r="80">
      <c r="A80" s="304"/>
      <c r="L80" s="321" t="s">
        <v>720</v>
      </c>
      <c r="Q80" s="310">
        <v>79</v>
      </c>
      <c r="R80" s="310" t="s">
        <v>723</v>
      </c>
      <c r="S80" s="312">
        <v>327</v>
      </c>
      <c r="T80" s="312">
        <v>393</v>
      </c>
      <c r="U80" s="312">
        <v>325</v>
      </c>
      <c r="V80" s="312">
        <v>149</v>
      </c>
      <c r="W80" s="312">
        <v>199</v>
      </c>
      <c r="X80" s="312">
        <v>185</v>
      </c>
      <c r="Y80" s="312">
        <v>169</v>
      </c>
      <c r="Z80" s="312">
        <v>188</v>
      </c>
      <c r="AA80" s="312">
        <v>252</v>
      </c>
      <c r="AB80" s="312">
        <v>330</v>
      </c>
      <c r="AC80" s="312">
        <v>675</v>
      </c>
      <c r="AD80" s="312">
        <v>946</v>
      </c>
      <c r="AE80" s="312">
        <v>805</v>
      </c>
      <c r="AF80" s="312">
        <v>961</v>
      </c>
      <c r="AG80" s="312">
        <v>604</v>
      </c>
      <c r="AH80" s="312">
        <v>526</v>
      </c>
      <c r="AI80" s="312">
        <v>480</v>
      </c>
      <c r="AJ80" s="312">
        <v>376</v>
      </c>
      <c r="AK80" s="312">
        <v>237</v>
      </c>
      <c r="AL80" s="313">
        <v>221</v>
      </c>
      <c r="AM80" s="313">
        <v>352</v>
      </c>
      <c r="AN80" s="313">
        <v>546</v>
      </c>
      <c r="AO80" s="313">
        <v>832</v>
      </c>
      <c r="AP80" s="313">
        <v>1053</v>
      </c>
      <c r="AQ80" s="314">
        <v>1119</v>
      </c>
      <c r="AR80" s="315">
        <v>888</v>
      </c>
      <c r="AS80" s="315">
        <v>626</v>
      </c>
      <c r="AT80" s="315">
        <v>552</v>
      </c>
      <c r="AU80" s="315">
        <v>479</v>
      </c>
      <c r="AV80" s="315">
        <v>366</v>
      </c>
      <c r="AW80" s="315">
        <v>280</v>
      </c>
      <c r="AX80" s="315">
        <v>262</v>
      </c>
      <c r="AY80" s="315">
        <v>315</v>
      </c>
      <c r="AZ80" s="315">
        <v>640</v>
      </c>
      <c r="BA80" s="315">
        <v>1003</v>
      </c>
      <c r="BB80" s="315">
        <v>1221</v>
      </c>
      <c r="BC80" s="315">
        <v>1264</v>
      </c>
      <c r="BD80" s="315">
        <v>1084</v>
      </c>
      <c r="BE80" s="315">
        <v>774</v>
      </c>
      <c r="BF80" s="315">
        <v>578</v>
      </c>
      <c r="BG80" s="315">
        <v>474</v>
      </c>
      <c r="BH80" s="315">
        <v>489</v>
      </c>
      <c r="BI80" s="315">
        <v>364</v>
      </c>
      <c r="BJ80" s="315">
        <v>267</v>
      </c>
      <c r="BK80" s="315">
        <v>311</v>
      </c>
      <c r="BL80" s="315">
        <v>739</v>
      </c>
      <c r="BM80" s="315">
        <v>1073</v>
      </c>
      <c r="BN80" s="315">
        <v>1209</v>
      </c>
      <c r="BO80" s="315">
        <v>1442</v>
      </c>
      <c r="BP80" s="316">
        <v>996</v>
      </c>
      <c r="BQ80" s="306">
        <v>21819</v>
      </c>
    </row>
    <row customHeight="true" ht="13" r="81">
      <c r="A81" s="304"/>
      <c r="L81" s="321" t="s">
        <v>720</v>
      </c>
      <c r="Q81" s="310">
        <v>80</v>
      </c>
      <c r="R81" s="310" t="s">
        <v>723</v>
      </c>
      <c r="S81" s="312">
        <v>326</v>
      </c>
      <c r="T81" s="312">
        <v>375</v>
      </c>
      <c r="U81" s="312">
        <v>325</v>
      </c>
      <c r="V81" s="312">
        <v>146</v>
      </c>
      <c r="W81" s="312">
        <v>198</v>
      </c>
      <c r="X81" s="312">
        <v>183</v>
      </c>
      <c r="Y81" s="312">
        <v>165</v>
      </c>
      <c r="Z81" s="312">
        <v>188</v>
      </c>
      <c r="AA81" s="312">
        <v>250</v>
      </c>
      <c r="AB81" s="312">
        <v>328</v>
      </c>
      <c r="AC81" s="312">
        <v>665</v>
      </c>
      <c r="AD81" s="312">
        <v>946</v>
      </c>
      <c r="AE81" s="312">
        <v>794</v>
      </c>
      <c r="AF81" s="312">
        <v>927</v>
      </c>
      <c r="AG81" s="312">
        <v>586</v>
      </c>
      <c r="AH81" s="312">
        <v>520</v>
      </c>
      <c r="AI81" s="312">
        <v>478</v>
      </c>
      <c r="AJ81" s="312">
        <v>361</v>
      </c>
      <c r="AK81" s="312">
        <v>236</v>
      </c>
      <c r="AL81" s="313">
        <v>220</v>
      </c>
      <c r="AM81" s="313">
        <v>347</v>
      </c>
      <c r="AN81" s="313">
        <v>532</v>
      </c>
      <c r="AO81" s="313">
        <v>831</v>
      </c>
      <c r="AP81" s="313">
        <v>1021</v>
      </c>
      <c r="AQ81" s="314">
        <v>1116</v>
      </c>
      <c r="AR81" s="315">
        <v>877</v>
      </c>
      <c r="AS81" s="315">
        <v>626</v>
      </c>
      <c r="AT81" s="315">
        <v>543</v>
      </c>
      <c r="AU81" s="315">
        <v>467</v>
      </c>
      <c r="AV81" s="315">
        <v>364</v>
      </c>
      <c r="AW81" s="315">
        <v>277</v>
      </c>
      <c r="AX81" s="315">
        <v>261</v>
      </c>
      <c r="AY81" s="315">
        <v>308</v>
      </c>
      <c r="AZ81" s="315">
        <v>631</v>
      </c>
      <c r="BA81" s="315">
        <v>1002</v>
      </c>
      <c r="BB81" s="315">
        <v>1219</v>
      </c>
      <c r="BC81" s="315">
        <v>1254</v>
      </c>
      <c r="BD81" s="315">
        <v>1077</v>
      </c>
      <c r="BE81" s="315">
        <v>767</v>
      </c>
      <c r="BF81" s="315">
        <v>574</v>
      </c>
      <c r="BG81" s="315">
        <v>472</v>
      </c>
      <c r="BH81" s="315">
        <v>481</v>
      </c>
      <c r="BI81" s="315">
        <v>354</v>
      </c>
      <c r="BJ81" s="315">
        <v>263</v>
      </c>
      <c r="BK81" s="315">
        <v>305</v>
      </c>
      <c r="BL81" s="315">
        <v>723</v>
      </c>
      <c r="BM81" s="315">
        <v>1065</v>
      </c>
      <c r="BN81" s="315">
        <v>1204</v>
      </c>
      <c r="BO81" s="315">
        <v>1437</v>
      </c>
      <c r="BP81" s="316">
        <v>974</v>
      </c>
      <c r="BQ81" s="306">
        <v>21592</v>
      </c>
    </row>
    <row customHeight="true" ht="13" r="82">
      <c r="A82" s="304"/>
      <c r="Q82" s="310">
        <v>81</v>
      </c>
      <c r="R82" s="310" t="s">
        <v>723</v>
      </c>
      <c r="S82" s="312">
        <v>322</v>
      </c>
      <c r="T82" s="312">
        <v>360</v>
      </c>
      <c r="U82" s="312">
        <v>322</v>
      </c>
      <c r="V82" s="312">
        <v>143</v>
      </c>
      <c r="W82" s="312">
        <v>188</v>
      </c>
      <c r="X82" s="312">
        <v>182</v>
      </c>
      <c r="Y82" s="312">
        <v>157</v>
      </c>
      <c r="Z82" s="312">
        <v>183</v>
      </c>
      <c r="AA82" s="312">
        <v>250</v>
      </c>
      <c r="AB82" s="312">
        <v>323</v>
      </c>
      <c r="AC82" s="312">
        <v>661</v>
      </c>
      <c r="AD82" s="312">
        <v>931</v>
      </c>
      <c r="AE82" s="312">
        <v>785</v>
      </c>
      <c r="AF82" s="312">
        <v>919</v>
      </c>
      <c r="AG82" s="312">
        <v>585</v>
      </c>
      <c r="AH82" s="312">
        <v>519</v>
      </c>
      <c r="AI82" s="312">
        <v>471</v>
      </c>
      <c r="AJ82" s="312">
        <v>355</v>
      </c>
      <c r="AK82" s="312">
        <v>234</v>
      </c>
      <c r="AL82" s="313">
        <v>219</v>
      </c>
      <c r="AM82" s="313">
        <v>339</v>
      </c>
      <c r="AN82" s="313">
        <v>530</v>
      </c>
      <c r="AO82" s="313">
        <v>827</v>
      </c>
      <c r="AP82" s="313">
        <v>1007</v>
      </c>
      <c r="AQ82" s="314">
        <v>1091</v>
      </c>
      <c r="AR82" s="315">
        <v>864</v>
      </c>
      <c r="AS82" s="315">
        <v>621</v>
      </c>
      <c r="AT82" s="315">
        <v>531</v>
      </c>
      <c r="AU82" s="315">
        <v>464</v>
      </c>
      <c r="AV82" s="315">
        <v>363</v>
      </c>
      <c r="AW82" s="315">
        <v>276</v>
      </c>
      <c r="AX82" s="315">
        <v>250</v>
      </c>
      <c r="AY82" s="315">
        <v>307</v>
      </c>
      <c r="AZ82" s="315">
        <v>629</v>
      </c>
      <c r="BA82" s="315">
        <v>998</v>
      </c>
      <c r="BB82" s="315">
        <v>1211</v>
      </c>
      <c r="BC82" s="315">
        <v>1238</v>
      </c>
      <c r="BD82" s="315">
        <v>1063</v>
      </c>
      <c r="BE82" s="315">
        <v>762</v>
      </c>
      <c r="BF82" s="315">
        <v>573</v>
      </c>
      <c r="BG82" s="315">
        <v>472</v>
      </c>
      <c r="BH82" s="315">
        <v>470</v>
      </c>
      <c r="BI82" s="315">
        <v>330</v>
      </c>
      <c r="BJ82" s="315">
        <v>259</v>
      </c>
      <c r="BK82" s="315">
        <v>300</v>
      </c>
      <c r="BL82" s="315">
        <v>722</v>
      </c>
      <c r="BM82" s="315">
        <v>1061</v>
      </c>
      <c r="BN82" s="315">
        <v>1196</v>
      </c>
      <c r="BO82" s="315">
        <v>1433</v>
      </c>
      <c r="BP82" s="316">
        <v>969</v>
      </c>
      <c r="BQ82" s="306">
        <v>21375</v>
      </c>
    </row>
    <row customHeight="true" ht="13" r="83">
      <c r="A83" s="304"/>
      <c r="Q83" s="310">
        <v>82</v>
      </c>
      <c r="R83" s="310" t="s">
        <v>723</v>
      </c>
      <c r="S83" s="312">
        <v>320</v>
      </c>
      <c r="T83" s="312">
        <v>351</v>
      </c>
      <c r="U83" s="312">
        <v>317</v>
      </c>
      <c r="V83" s="312">
        <v>142</v>
      </c>
      <c r="W83" s="312">
        <v>185</v>
      </c>
      <c r="X83" s="312">
        <v>182</v>
      </c>
      <c r="Y83" s="312">
        <v>157</v>
      </c>
      <c r="Z83" s="312">
        <v>183</v>
      </c>
      <c r="AA83" s="312">
        <v>244</v>
      </c>
      <c r="AB83" s="312">
        <v>319</v>
      </c>
      <c r="AC83" s="312">
        <v>615</v>
      </c>
      <c r="AD83" s="312">
        <v>912</v>
      </c>
      <c r="AE83" s="312">
        <v>774</v>
      </c>
      <c r="AF83" s="312">
        <v>918</v>
      </c>
      <c r="AG83" s="312">
        <v>582</v>
      </c>
      <c r="AH83" s="312">
        <v>507</v>
      </c>
      <c r="AI83" s="312">
        <v>464</v>
      </c>
      <c r="AJ83" s="312">
        <v>349</v>
      </c>
      <c r="AK83" s="312">
        <v>230</v>
      </c>
      <c r="AL83" s="313">
        <v>217</v>
      </c>
      <c r="AM83" s="313">
        <v>339</v>
      </c>
      <c r="AN83" s="313">
        <v>528</v>
      </c>
      <c r="AO83" s="313">
        <v>819</v>
      </c>
      <c r="AP83" s="313">
        <v>1003</v>
      </c>
      <c r="AQ83" s="314">
        <v>1064</v>
      </c>
      <c r="AR83" s="315">
        <v>857</v>
      </c>
      <c r="AS83" s="315">
        <v>620</v>
      </c>
      <c r="AT83" s="315">
        <v>528</v>
      </c>
      <c r="AU83" s="315">
        <v>460</v>
      </c>
      <c r="AV83" s="315">
        <v>358</v>
      </c>
      <c r="AW83" s="315">
        <v>273</v>
      </c>
      <c r="AX83" s="315">
        <v>246</v>
      </c>
      <c r="AY83" s="315">
        <v>306</v>
      </c>
      <c r="AZ83" s="315">
        <v>624</v>
      </c>
      <c r="BA83" s="315">
        <v>975</v>
      </c>
      <c r="BB83" s="315">
        <v>1208</v>
      </c>
      <c r="BC83" s="315">
        <v>1221</v>
      </c>
      <c r="BD83" s="315">
        <v>1042</v>
      </c>
      <c r="BE83" s="315">
        <v>761</v>
      </c>
      <c r="BF83" s="315">
        <v>570</v>
      </c>
      <c r="BG83" s="315">
        <v>464</v>
      </c>
      <c r="BH83" s="315">
        <v>468</v>
      </c>
      <c r="BI83" s="315">
        <v>330</v>
      </c>
      <c r="BJ83" s="315">
        <v>259</v>
      </c>
      <c r="BK83" s="315">
        <v>299</v>
      </c>
      <c r="BL83" s="315">
        <v>716</v>
      </c>
      <c r="BM83" s="315">
        <v>1047</v>
      </c>
      <c r="BN83" s="315">
        <v>1195</v>
      </c>
      <c r="BO83" s="315">
        <v>1418</v>
      </c>
      <c r="BP83" s="316">
        <v>942</v>
      </c>
      <c r="BQ83" s="306">
        <v>21157</v>
      </c>
    </row>
    <row customHeight="true" ht="13" r="84">
      <c r="A84" s="304"/>
      <c r="Q84" s="310">
        <v>83</v>
      </c>
      <c r="R84" s="310" t="s">
        <v>723</v>
      </c>
      <c r="S84" s="312">
        <v>316</v>
      </c>
      <c r="T84" s="312">
        <v>347</v>
      </c>
      <c r="U84" s="312">
        <v>310</v>
      </c>
      <c r="V84" s="312">
        <v>138</v>
      </c>
      <c r="W84" s="312">
        <v>181</v>
      </c>
      <c r="X84" s="312">
        <v>181</v>
      </c>
      <c r="Y84" s="312">
        <v>153</v>
      </c>
      <c r="Z84" s="312">
        <v>182</v>
      </c>
      <c r="AA84" s="312">
        <v>243</v>
      </c>
      <c r="AB84" s="312">
        <v>319</v>
      </c>
      <c r="AC84" s="312">
        <v>614</v>
      </c>
      <c r="AD84" s="312">
        <v>912</v>
      </c>
      <c r="AE84" s="312">
        <v>766</v>
      </c>
      <c r="AF84" s="312">
        <v>905</v>
      </c>
      <c r="AG84" s="312">
        <v>577</v>
      </c>
      <c r="AH84" s="312">
        <v>500</v>
      </c>
      <c r="AI84" s="312">
        <v>460</v>
      </c>
      <c r="AJ84" s="312">
        <v>348</v>
      </c>
      <c r="AK84" s="312">
        <v>229</v>
      </c>
      <c r="AL84" s="313">
        <v>213</v>
      </c>
      <c r="AM84" s="313">
        <v>337</v>
      </c>
      <c r="AN84" s="313">
        <v>523</v>
      </c>
      <c r="AO84" s="313">
        <v>817</v>
      </c>
      <c r="AP84" s="313">
        <v>999</v>
      </c>
      <c r="AQ84" s="314">
        <v>1038</v>
      </c>
      <c r="AR84" s="315">
        <v>837</v>
      </c>
      <c r="AS84" s="315">
        <v>619</v>
      </c>
      <c r="AT84" s="315">
        <v>520</v>
      </c>
      <c r="AU84" s="315">
        <v>449</v>
      </c>
      <c r="AV84" s="315">
        <v>357</v>
      </c>
      <c r="AW84" s="315">
        <v>272</v>
      </c>
      <c r="AX84" s="315">
        <v>243</v>
      </c>
      <c r="AY84" s="315">
        <v>304</v>
      </c>
      <c r="AZ84" s="315">
        <v>620</v>
      </c>
      <c r="BA84" s="315">
        <v>965</v>
      </c>
      <c r="BB84" s="315">
        <v>1200</v>
      </c>
      <c r="BC84" s="315">
        <v>1221</v>
      </c>
      <c r="BD84" s="315">
        <v>1023</v>
      </c>
      <c r="BE84" s="315">
        <v>739</v>
      </c>
      <c r="BF84" s="315">
        <v>568</v>
      </c>
      <c r="BG84" s="315">
        <v>464</v>
      </c>
      <c r="BH84" s="315">
        <v>467</v>
      </c>
      <c r="BI84" s="315">
        <v>323</v>
      </c>
      <c r="BJ84" s="315">
        <v>257</v>
      </c>
      <c r="BK84" s="315">
        <v>298</v>
      </c>
      <c r="BL84" s="315">
        <v>699</v>
      </c>
      <c r="BM84" s="315">
        <v>1025</v>
      </c>
      <c r="BN84" s="315">
        <v>1192</v>
      </c>
      <c r="BO84" s="315">
        <v>1406</v>
      </c>
      <c r="BP84" s="316">
        <v>936</v>
      </c>
      <c r="BQ84" s="306">
        <v>20931</v>
      </c>
    </row>
    <row customHeight="true" ht="13" r="85">
      <c r="A85" s="304"/>
      <c r="Q85" s="310">
        <v>84</v>
      </c>
      <c r="R85" s="310" t="s">
        <v>723</v>
      </c>
      <c r="S85" s="312">
        <v>312</v>
      </c>
      <c r="T85" s="312">
        <v>347</v>
      </c>
      <c r="U85" s="312">
        <v>308</v>
      </c>
      <c r="V85" s="312">
        <v>134</v>
      </c>
      <c r="W85" s="312">
        <v>180</v>
      </c>
      <c r="X85" s="312">
        <v>179</v>
      </c>
      <c r="Y85" s="312">
        <v>152</v>
      </c>
      <c r="Z85" s="312">
        <v>182</v>
      </c>
      <c r="AA85" s="312">
        <v>241</v>
      </c>
      <c r="AB85" s="312">
        <v>317</v>
      </c>
      <c r="AC85" s="312">
        <v>612</v>
      </c>
      <c r="AD85" s="312">
        <v>894</v>
      </c>
      <c r="AE85" s="312">
        <v>762</v>
      </c>
      <c r="AF85" s="312">
        <v>878</v>
      </c>
      <c r="AG85" s="312">
        <v>562</v>
      </c>
      <c r="AH85" s="312">
        <v>495</v>
      </c>
      <c r="AI85" s="312">
        <v>448</v>
      </c>
      <c r="AJ85" s="312">
        <v>347</v>
      </c>
      <c r="AK85" s="312">
        <v>227</v>
      </c>
      <c r="AL85" s="313">
        <v>210</v>
      </c>
      <c r="AM85" s="313">
        <v>324</v>
      </c>
      <c r="AN85" s="313">
        <v>522</v>
      </c>
      <c r="AO85" s="313">
        <v>802</v>
      </c>
      <c r="AP85" s="313">
        <v>996</v>
      </c>
      <c r="AQ85" s="314">
        <v>1035</v>
      </c>
      <c r="AR85" s="315">
        <v>834</v>
      </c>
      <c r="AS85" s="315">
        <v>619</v>
      </c>
      <c r="AT85" s="315">
        <v>514</v>
      </c>
      <c r="AU85" s="315">
        <v>447</v>
      </c>
      <c r="AV85" s="315">
        <v>356</v>
      </c>
      <c r="AW85" s="315">
        <v>270</v>
      </c>
      <c r="AX85" s="315">
        <v>240</v>
      </c>
      <c r="AY85" s="315">
        <v>299</v>
      </c>
      <c r="AZ85" s="315">
        <v>609</v>
      </c>
      <c r="BA85" s="315">
        <v>955</v>
      </c>
      <c r="BB85" s="315">
        <v>1178</v>
      </c>
      <c r="BC85" s="315">
        <v>1220</v>
      </c>
      <c r="BD85" s="315">
        <v>1021</v>
      </c>
      <c r="BE85" s="315">
        <v>737</v>
      </c>
      <c r="BF85" s="315">
        <v>556</v>
      </c>
      <c r="BG85" s="315">
        <v>456</v>
      </c>
      <c r="BH85" s="315">
        <v>462</v>
      </c>
      <c r="BI85" s="315">
        <v>319</v>
      </c>
      <c r="BJ85" s="315">
        <v>255</v>
      </c>
      <c r="BK85" s="315">
        <v>298</v>
      </c>
      <c r="BL85" s="315">
        <v>687</v>
      </c>
      <c r="BM85" s="315">
        <v>1022</v>
      </c>
      <c r="BN85" s="315">
        <v>1188</v>
      </c>
      <c r="BO85" s="315">
        <v>1388</v>
      </c>
      <c r="BP85" s="316">
        <v>935</v>
      </c>
      <c r="BQ85" s="306">
        <v>20754</v>
      </c>
    </row>
    <row customHeight="true" ht="13" r="86">
      <c r="A86" s="304"/>
      <c r="Q86" s="310">
        <v>85</v>
      </c>
      <c r="R86" s="310" t="s">
        <v>723</v>
      </c>
      <c r="S86" s="312">
        <v>312</v>
      </c>
      <c r="T86" s="312">
        <v>333</v>
      </c>
      <c r="U86" s="312">
        <v>299</v>
      </c>
      <c r="V86" s="312">
        <v>123</v>
      </c>
      <c r="W86" s="312">
        <v>178</v>
      </c>
      <c r="X86" s="312">
        <v>176</v>
      </c>
      <c r="Y86" s="312">
        <v>152</v>
      </c>
      <c r="Z86" s="312">
        <v>171</v>
      </c>
      <c r="AA86" s="312">
        <v>238</v>
      </c>
      <c r="AB86" s="312">
        <v>314</v>
      </c>
      <c r="AC86" s="312">
        <v>612</v>
      </c>
      <c r="AD86" s="312">
        <v>891</v>
      </c>
      <c r="AE86" s="312">
        <v>726</v>
      </c>
      <c r="AF86" s="312">
        <v>864</v>
      </c>
      <c r="AG86" s="312">
        <v>560</v>
      </c>
      <c r="AH86" s="312">
        <v>492</v>
      </c>
      <c r="AI86" s="312">
        <v>446</v>
      </c>
      <c r="AJ86" s="312">
        <v>345</v>
      </c>
      <c r="AK86" s="312">
        <v>225</v>
      </c>
      <c r="AL86" s="313">
        <v>209</v>
      </c>
      <c r="AM86" s="313">
        <v>320</v>
      </c>
      <c r="AN86" s="313">
        <v>522</v>
      </c>
      <c r="AO86" s="313">
        <v>789</v>
      </c>
      <c r="AP86" s="313">
        <v>957</v>
      </c>
      <c r="AQ86" s="314">
        <v>1021</v>
      </c>
      <c r="AR86" s="315">
        <v>801</v>
      </c>
      <c r="AS86" s="315">
        <v>616</v>
      </c>
      <c r="AT86" s="315">
        <v>504</v>
      </c>
      <c r="AU86" s="315">
        <v>446</v>
      </c>
      <c r="AV86" s="315">
        <v>354</v>
      </c>
      <c r="AW86" s="315">
        <v>269</v>
      </c>
      <c r="AX86" s="315">
        <v>240</v>
      </c>
      <c r="AY86" s="315">
        <v>292</v>
      </c>
      <c r="AZ86" s="315">
        <v>608</v>
      </c>
      <c r="BA86" s="315">
        <v>952</v>
      </c>
      <c r="BB86" s="315">
        <v>1171</v>
      </c>
      <c r="BC86" s="315">
        <v>1200</v>
      </c>
      <c r="BD86" s="315">
        <v>1020</v>
      </c>
      <c r="BE86" s="315">
        <v>727</v>
      </c>
      <c r="BF86" s="315">
        <v>551</v>
      </c>
      <c r="BG86" s="315">
        <v>454</v>
      </c>
      <c r="BH86" s="315">
        <v>458</v>
      </c>
      <c r="BI86" s="315">
        <v>318</v>
      </c>
      <c r="BJ86" s="315">
        <v>252</v>
      </c>
      <c r="BK86" s="315">
        <v>295</v>
      </c>
      <c r="BL86" s="315">
        <v>683</v>
      </c>
      <c r="BM86" s="315">
        <v>992</v>
      </c>
      <c r="BN86" s="315">
        <v>1176</v>
      </c>
      <c r="BO86" s="315">
        <v>1368</v>
      </c>
      <c r="BP86" s="316">
        <v>927</v>
      </c>
      <c r="BQ86" s="306">
        <v>20492</v>
      </c>
    </row>
    <row customHeight="true" ht="13" r="87">
      <c r="A87" s="304"/>
      <c r="Q87" s="310">
        <v>86</v>
      </c>
      <c r="R87" s="310" t="s">
        <v>723</v>
      </c>
      <c r="S87" s="312">
        <v>310</v>
      </c>
      <c r="T87" s="312">
        <v>327</v>
      </c>
      <c r="U87" s="312">
        <v>298</v>
      </c>
      <c r="V87" s="312">
        <v>121</v>
      </c>
      <c r="W87" s="312">
        <v>176</v>
      </c>
      <c r="X87" s="312">
        <v>172</v>
      </c>
      <c r="Y87" s="312">
        <v>150</v>
      </c>
      <c r="Z87" s="312">
        <v>171</v>
      </c>
      <c r="AA87" s="312">
        <v>238</v>
      </c>
      <c r="AB87" s="312">
        <v>311</v>
      </c>
      <c r="AC87" s="312">
        <v>603</v>
      </c>
      <c r="AD87" s="312">
        <v>880</v>
      </c>
      <c r="AE87" s="312">
        <v>724</v>
      </c>
      <c r="AF87" s="312">
        <v>857</v>
      </c>
      <c r="AG87" s="312">
        <v>558</v>
      </c>
      <c r="AH87" s="312">
        <v>491</v>
      </c>
      <c r="AI87" s="312">
        <v>445</v>
      </c>
      <c r="AJ87" s="312">
        <v>340</v>
      </c>
      <c r="AK87" s="312">
        <v>224</v>
      </c>
      <c r="AL87" s="313">
        <v>207</v>
      </c>
      <c r="AM87" s="313">
        <v>319</v>
      </c>
      <c r="AN87" s="313">
        <v>518</v>
      </c>
      <c r="AO87" s="313">
        <v>788</v>
      </c>
      <c r="AP87" s="313">
        <v>942</v>
      </c>
      <c r="AQ87" s="314">
        <v>1020</v>
      </c>
      <c r="AR87" s="315">
        <v>774</v>
      </c>
      <c r="AS87" s="315">
        <v>605</v>
      </c>
      <c r="AT87" s="315">
        <v>493</v>
      </c>
      <c r="AU87" s="315">
        <v>445</v>
      </c>
      <c r="AV87" s="315">
        <v>353</v>
      </c>
      <c r="AW87" s="315">
        <v>269</v>
      </c>
      <c r="AX87" s="315">
        <v>232</v>
      </c>
      <c r="AY87" s="315">
        <v>291</v>
      </c>
      <c r="AZ87" s="315">
        <v>592</v>
      </c>
      <c r="BA87" s="315">
        <v>923</v>
      </c>
      <c r="BB87" s="315">
        <v>1161</v>
      </c>
      <c r="BC87" s="315">
        <v>1196</v>
      </c>
      <c r="BD87" s="315">
        <v>988</v>
      </c>
      <c r="BE87" s="315">
        <v>722</v>
      </c>
      <c r="BF87" s="315">
        <v>550</v>
      </c>
      <c r="BG87" s="315">
        <v>454</v>
      </c>
      <c r="BH87" s="315">
        <v>453</v>
      </c>
      <c r="BI87" s="315">
        <v>318</v>
      </c>
      <c r="BJ87" s="315">
        <v>248</v>
      </c>
      <c r="BK87" s="315">
        <v>290</v>
      </c>
      <c r="BL87" s="315">
        <v>681</v>
      </c>
      <c r="BM87" s="315">
        <v>967</v>
      </c>
      <c r="BN87" s="315">
        <v>1172</v>
      </c>
      <c r="BO87" s="315">
        <v>1349</v>
      </c>
      <c r="BP87" s="316">
        <v>926</v>
      </c>
      <c r="BQ87" s="306">
        <v>20246</v>
      </c>
    </row>
    <row customHeight="true" ht="13" r="88">
      <c r="A88" s="304"/>
      <c r="Q88" s="310">
        <v>87</v>
      </c>
      <c r="R88" s="310" t="s">
        <v>723</v>
      </c>
      <c r="S88" s="312">
        <v>305</v>
      </c>
      <c r="T88" s="312">
        <v>325</v>
      </c>
      <c r="U88" s="312">
        <v>296</v>
      </c>
      <c r="V88" s="312">
        <v>120</v>
      </c>
      <c r="W88" s="312">
        <v>164</v>
      </c>
      <c r="X88" s="312">
        <v>172</v>
      </c>
      <c r="Y88" s="312">
        <v>150</v>
      </c>
      <c r="Z88" s="312">
        <v>171</v>
      </c>
      <c r="AA88" s="312">
        <v>236</v>
      </c>
      <c r="AB88" s="312">
        <v>301</v>
      </c>
      <c r="AC88" s="312">
        <v>593</v>
      </c>
      <c r="AD88" s="312">
        <v>867</v>
      </c>
      <c r="AE88" s="312">
        <v>723</v>
      </c>
      <c r="AF88" s="312">
        <v>854</v>
      </c>
      <c r="AG88" s="312">
        <v>552</v>
      </c>
      <c r="AH88" s="312">
        <v>484</v>
      </c>
      <c r="AI88" s="312">
        <v>443</v>
      </c>
      <c r="AJ88" s="312">
        <v>329</v>
      </c>
      <c r="AK88" s="312">
        <v>219</v>
      </c>
      <c r="AL88" s="313">
        <v>206</v>
      </c>
      <c r="AM88" s="313">
        <v>308</v>
      </c>
      <c r="AN88" s="313">
        <v>517</v>
      </c>
      <c r="AO88" s="313">
        <v>785</v>
      </c>
      <c r="AP88" s="313">
        <v>930</v>
      </c>
      <c r="AQ88" s="314">
        <v>1016</v>
      </c>
      <c r="AR88" s="315">
        <v>767</v>
      </c>
      <c r="AS88" s="315">
        <v>585</v>
      </c>
      <c r="AT88" s="315">
        <v>488</v>
      </c>
      <c r="AU88" s="315">
        <v>442</v>
      </c>
      <c r="AV88" s="315">
        <v>349</v>
      </c>
      <c r="AW88" s="315">
        <v>265</v>
      </c>
      <c r="AX88" s="315">
        <v>231</v>
      </c>
      <c r="AY88" s="315">
        <v>290</v>
      </c>
      <c r="AZ88" s="315">
        <v>580</v>
      </c>
      <c r="BA88" s="315">
        <v>917</v>
      </c>
      <c r="BB88" s="315">
        <v>1153</v>
      </c>
      <c r="BC88" s="315">
        <v>1191</v>
      </c>
      <c r="BD88" s="315">
        <v>974</v>
      </c>
      <c r="BE88" s="315">
        <v>707</v>
      </c>
      <c r="BF88" s="315">
        <v>544</v>
      </c>
      <c r="BG88" s="315">
        <v>451</v>
      </c>
      <c r="BH88" s="315">
        <v>451</v>
      </c>
      <c r="BI88" s="315">
        <v>316</v>
      </c>
      <c r="BJ88" s="315">
        <v>247</v>
      </c>
      <c r="BK88" s="315">
        <v>288</v>
      </c>
      <c r="BL88" s="315">
        <v>674</v>
      </c>
      <c r="BM88" s="315">
        <v>953</v>
      </c>
      <c r="BN88" s="315">
        <v>1157</v>
      </c>
      <c r="BO88" s="315">
        <v>1325</v>
      </c>
      <c r="BP88" s="316">
        <v>920</v>
      </c>
      <c r="BQ88" s="306">
        <v>20027</v>
      </c>
    </row>
    <row customHeight="true" ht="13" r="89">
      <c r="A89" s="304"/>
      <c r="Q89" s="310">
        <v>88</v>
      </c>
      <c r="R89" s="310" t="s">
        <v>723</v>
      </c>
      <c r="S89" s="312">
        <v>301</v>
      </c>
      <c r="T89" s="312">
        <v>322</v>
      </c>
      <c r="U89" s="312">
        <v>295</v>
      </c>
      <c r="V89" s="312">
        <v>117</v>
      </c>
      <c r="W89" s="312">
        <v>162</v>
      </c>
      <c r="X89" s="312">
        <v>169</v>
      </c>
      <c r="Y89" s="312">
        <v>149</v>
      </c>
      <c r="Z89" s="312">
        <v>168</v>
      </c>
      <c r="AA89" s="312">
        <v>234</v>
      </c>
      <c r="AB89" s="312">
        <v>293</v>
      </c>
      <c r="AC89" s="312">
        <v>581</v>
      </c>
      <c r="AD89" s="312">
        <v>863</v>
      </c>
      <c r="AE89" s="312">
        <v>715</v>
      </c>
      <c r="AF89" s="312">
        <v>825</v>
      </c>
      <c r="AG89" s="312">
        <v>551</v>
      </c>
      <c r="AH89" s="312">
        <v>482</v>
      </c>
      <c r="AI89" s="312">
        <v>439</v>
      </c>
      <c r="AJ89" s="312">
        <v>327</v>
      </c>
      <c r="AK89" s="312">
        <v>218</v>
      </c>
      <c r="AL89" s="313">
        <v>206</v>
      </c>
      <c r="AM89" s="313">
        <v>306</v>
      </c>
      <c r="AN89" s="313">
        <v>510</v>
      </c>
      <c r="AO89" s="313">
        <v>781</v>
      </c>
      <c r="AP89" s="313">
        <v>929</v>
      </c>
      <c r="AQ89" s="314">
        <v>980</v>
      </c>
      <c r="AR89" s="315">
        <v>763</v>
      </c>
      <c r="AS89" s="315">
        <v>582</v>
      </c>
      <c r="AT89" s="315">
        <v>477</v>
      </c>
      <c r="AU89" s="315">
        <v>439</v>
      </c>
      <c r="AV89" s="315">
        <v>346</v>
      </c>
      <c r="AW89" s="315">
        <v>264</v>
      </c>
      <c r="AX89" s="315">
        <v>230</v>
      </c>
      <c r="AY89" s="315">
        <v>290</v>
      </c>
      <c r="AZ89" s="315">
        <v>574</v>
      </c>
      <c r="BA89" s="315">
        <v>896</v>
      </c>
      <c r="BB89" s="315">
        <v>1137</v>
      </c>
      <c r="BC89" s="315">
        <v>1110</v>
      </c>
      <c r="BD89" s="315">
        <v>970</v>
      </c>
      <c r="BE89" s="315">
        <v>658</v>
      </c>
      <c r="BF89" s="315">
        <v>540</v>
      </c>
      <c r="BG89" s="315">
        <v>450</v>
      </c>
      <c r="BH89" s="315">
        <v>451</v>
      </c>
      <c r="BI89" s="315">
        <v>316</v>
      </c>
      <c r="BJ89" s="315">
        <v>247</v>
      </c>
      <c r="BK89" s="315">
        <v>286</v>
      </c>
      <c r="BL89" s="315">
        <v>662</v>
      </c>
      <c r="BM89" s="315">
        <v>942</v>
      </c>
      <c r="BN89" s="315">
        <v>1135</v>
      </c>
      <c r="BO89" s="315">
        <v>1320</v>
      </c>
      <c r="BP89" s="316">
        <v>913</v>
      </c>
      <c r="BQ89" s="306">
        <v>19710</v>
      </c>
    </row>
    <row customHeight="true" ht="13" r="90">
      <c r="A90" s="304"/>
      <c r="Q90" s="310">
        <v>89</v>
      </c>
      <c r="R90" s="310" t="s">
        <v>724</v>
      </c>
      <c r="S90" s="312">
        <v>296</v>
      </c>
      <c r="T90" s="312">
        <v>310</v>
      </c>
      <c r="U90" s="312">
        <v>287</v>
      </c>
      <c r="V90" s="312">
        <v>114</v>
      </c>
      <c r="W90" s="312">
        <v>160</v>
      </c>
      <c r="X90" s="312">
        <v>165</v>
      </c>
      <c r="Y90" s="312">
        <v>149</v>
      </c>
      <c r="Z90" s="312">
        <v>164</v>
      </c>
      <c r="AA90" s="312">
        <v>233</v>
      </c>
      <c r="AB90" s="312">
        <v>286</v>
      </c>
      <c r="AC90" s="312">
        <v>580</v>
      </c>
      <c r="AD90" s="312">
        <v>853</v>
      </c>
      <c r="AE90" s="312">
        <v>712</v>
      </c>
      <c r="AF90" s="312">
        <v>811</v>
      </c>
      <c r="AG90" s="312">
        <v>537</v>
      </c>
      <c r="AH90" s="312">
        <v>477</v>
      </c>
      <c r="AI90" s="312">
        <v>437</v>
      </c>
      <c r="AJ90" s="312">
        <v>323</v>
      </c>
      <c r="AK90" s="312">
        <v>218</v>
      </c>
      <c r="AL90" s="313">
        <v>203</v>
      </c>
      <c r="AM90" s="313">
        <v>303</v>
      </c>
      <c r="AN90" s="313">
        <v>502</v>
      </c>
      <c r="AO90" s="313">
        <v>771</v>
      </c>
      <c r="AP90" s="313">
        <v>903</v>
      </c>
      <c r="AQ90" s="314">
        <v>972</v>
      </c>
      <c r="AR90" s="315">
        <v>741</v>
      </c>
      <c r="AS90" s="315">
        <v>581</v>
      </c>
      <c r="AT90" s="315">
        <v>469</v>
      </c>
      <c r="AU90" s="315">
        <v>428</v>
      </c>
      <c r="AV90" s="315">
        <v>345</v>
      </c>
      <c r="AW90" s="315">
        <v>260</v>
      </c>
      <c r="AX90" s="315">
        <v>230</v>
      </c>
      <c r="AY90" s="315">
        <v>283</v>
      </c>
      <c r="AZ90" s="315">
        <v>572</v>
      </c>
      <c r="BA90" s="315">
        <v>872</v>
      </c>
      <c r="BB90" s="315">
        <v>1119</v>
      </c>
      <c r="BC90" s="315">
        <v>1100</v>
      </c>
      <c r="BD90" s="315">
        <v>960</v>
      </c>
      <c r="BE90" s="315">
        <v>653</v>
      </c>
      <c r="BF90" s="315">
        <v>536</v>
      </c>
      <c r="BG90" s="315">
        <v>449</v>
      </c>
      <c r="BH90" s="315">
        <v>439</v>
      </c>
      <c r="BI90" s="315">
        <v>312</v>
      </c>
      <c r="BJ90" s="315">
        <v>241</v>
      </c>
      <c r="BK90" s="315">
        <v>286</v>
      </c>
      <c r="BL90" s="315">
        <v>661</v>
      </c>
      <c r="BM90" s="315">
        <v>939</v>
      </c>
      <c r="BN90" s="315">
        <v>1127</v>
      </c>
      <c r="BO90" s="315">
        <v>1273</v>
      </c>
      <c r="BP90" s="316">
        <v>902</v>
      </c>
      <c r="BQ90" s="306">
        <v>19432</v>
      </c>
    </row>
    <row customHeight="true" ht="13" r="91">
      <c r="A91" s="304"/>
      <c r="Q91" s="310">
        <v>90</v>
      </c>
      <c r="R91" s="310" t="s">
        <v>724</v>
      </c>
      <c r="S91" s="312">
        <v>295</v>
      </c>
      <c r="T91" s="312">
        <v>310</v>
      </c>
      <c r="U91" s="312">
        <v>284</v>
      </c>
      <c r="V91" s="312">
        <v>113</v>
      </c>
      <c r="W91" s="312">
        <v>160</v>
      </c>
      <c r="X91" s="312">
        <v>163</v>
      </c>
      <c r="Y91" s="312">
        <v>145</v>
      </c>
      <c r="Z91" s="312">
        <v>161</v>
      </c>
      <c r="AA91" s="312">
        <v>231</v>
      </c>
      <c r="AB91" s="312">
        <v>281</v>
      </c>
      <c r="AC91" s="312">
        <v>576</v>
      </c>
      <c r="AD91" s="312">
        <v>822</v>
      </c>
      <c r="AE91" s="312">
        <v>712</v>
      </c>
      <c r="AF91" s="312">
        <v>808</v>
      </c>
      <c r="AG91" s="312">
        <v>521</v>
      </c>
      <c r="AH91" s="312">
        <v>475</v>
      </c>
      <c r="AI91" s="312">
        <v>436</v>
      </c>
      <c r="AJ91" s="312">
        <v>318</v>
      </c>
      <c r="AK91" s="312">
        <v>218</v>
      </c>
      <c r="AL91" s="313">
        <v>203</v>
      </c>
      <c r="AM91" s="313">
        <v>299</v>
      </c>
      <c r="AN91" s="313">
        <v>499</v>
      </c>
      <c r="AO91" s="313">
        <v>763</v>
      </c>
      <c r="AP91" s="313">
        <v>881</v>
      </c>
      <c r="AQ91" s="314">
        <v>953</v>
      </c>
      <c r="AR91" s="315">
        <v>739</v>
      </c>
      <c r="AS91" s="315">
        <v>580</v>
      </c>
      <c r="AT91" s="315">
        <v>460</v>
      </c>
      <c r="AU91" s="315">
        <v>423</v>
      </c>
      <c r="AV91" s="315">
        <v>341</v>
      </c>
      <c r="AW91" s="315">
        <v>257</v>
      </c>
      <c r="AX91" s="315">
        <v>229</v>
      </c>
      <c r="AY91" s="315">
        <v>278</v>
      </c>
      <c r="AZ91" s="315">
        <v>570</v>
      </c>
      <c r="BA91" s="315">
        <v>872</v>
      </c>
      <c r="BB91" s="315">
        <v>1092</v>
      </c>
      <c r="BC91" s="315">
        <v>1096</v>
      </c>
      <c r="BD91" s="315">
        <v>942</v>
      </c>
      <c r="BE91" s="315">
        <v>652</v>
      </c>
      <c r="BF91" s="315">
        <v>536</v>
      </c>
      <c r="BG91" s="315">
        <v>444</v>
      </c>
      <c r="BH91" s="315">
        <v>438</v>
      </c>
      <c r="BI91" s="315">
        <v>312</v>
      </c>
      <c r="BJ91" s="315">
        <v>236</v>
      </c>
      <c r="BK91" s="315">
        <v>284</v>
      </c>
      <c r="BL91" s="315">
        <v>656</v>
      </c>
      <c r="BM91" s="315">
        <v>930</v>
      </c>
      <c r="BN91" s="315">
        <v>1106</v>
      </c>
      <c r="BO91" s="315">
        <v>1249</v>
      </c>
      <c r="BP91" s="316">
        <v>901</v>
      </c>
      <c r="BQ91" s="306">
        <v>19221</v>
      </c>
    </row>
    <row customHeight="true" ht="13" r="92">
      <c r="A92" s="304"/>
      <c r="Q92" s="310">
        <v>91</v>
      </c>
      <c r="R92" s="310" t="s">
        <v>724</v>
      </c>
      <c r="S92" s="312">
        <v>288</v>
      </c>
      <c r="T92" s="312">
        <v>309</v>
      </c>
      <c r="U92" s="312">
        <v>283</v>
      </c>
      <c r="V92" s="312">
        <v>112</v>
      </c>
      <c r="W92" s="312">
        <v>155</v>
      </c>
      <c r="X92" s="312">
        <v>163</v>
      </c>
      <c r="Y92" s="312">
        <v>140</v>
      </c>
      <c r="Z92" s="312">
        <v>158</v>
      </c>
      <c r="AA92" s="312">
        <v>230</v>
      </c>
      <c r="AB92" s="312">
        <v>266</v>
      </c>
      <c r="AC92" s="312">
        <v>574</v>
      </c>
      <c r="AD92" s="312">
        <v>802</v>
      </c>
      <c r="AE92" s="312">
        <v>702</v>
      </c>
      <c r="AF92" s="312">
        <v>807</v>
      </c>
      <c r="AG92" s="312">
        <v>520</v>
      </c>
      <c r="AH92" s="312">
        <v>469</v>
      </c>
      <c r="AI92" s="312">
        <v>428</v>
      </c>
      <c r="AJ92" s="312">
        <v>311</v>
      </c>
      <c r="AK92" s="312">
        <v>217</v>
      </c>
      <c r="AL92" s="313">
        <v>202</v>
      </c>
      <c r="AM92" s="313">
        <v>292</v>
      </c>
      <c r="AN92" s="313">
        <v>495</v>
      </c>
      <c r="AO92" s="313">
        <v>762</v>
      </c>
      <c r="AP92" s="313">
        <v>862</v>
      </c>
      <c r="AQ92" s="314">
        <v>952</v>
      </c>
      <c r="AR92" s="315">
        <v>727</v>
      </c>
      <c r="AS92" s="315">
        <v>573</v>
      </c>
      <c r="AT92" s="315">
        <v>459</v>
      </c>
      <c r="AU92" s="315">
        <v>420</v>
      </c>
      <c r="AV92" s="315">
        <v>341</v>
      </c>
      <c r="AW92" s="315">
        <v>250</v>
      </c>
      <c r="AX92" s="315">
        <v>228</v>
      </c>
      <c r="AY92" s="315">
        <v>273</v>
      </c>
      <c r="AZ92" s="315">
        <v>562</v>
      </c>
      <c r="BA92" s="315">
        <v>855</v>
      </c>
      <c r="BB92" s="315">
        <v>1088</v>
      </c>
      <c r="BC92" s="315">
        <v>1088</v>
      </c>
      <c r="BD92" s="315">
        <v>931</v>
      </c>
      <c r="BE92" s="315">
        <v>636</v>
      </c>
      <c r="BF92" s="315">
        <v>536</v>
      </c>
      <c r="BG92" s="315">
        <v>434</v>
      </c>
      <c r="BH92" s="315">
        <v>431</v>
      </c>
      <c r="BI92" s="315">
        <v>307</v>
      </c>
      <c r="BJ92" s="315">
        <v>234</v>
      </c>
      <c r="BK92" s="315">
        <v>279</v>
      </c>
      <c r="BL92" s="315">
        <v>649</v>
      </c>
      <c r="BM92" s="315">
        <v>917</v>
      </c>
      <c r="BN92" s="315">
        <v>1105</v>
      </c>
      <c r="BO92" s="315">
        <v>1234</v>
      </c>
      <c r="BP92" s="316">
        <v>898</v>
      </c>
      <c r="BQ92" s="306">
        <v>19020</v>
      </c>
    </row>
    <row customHeight="true" ht="13" r="93">
      <c r="A93" s="304"/>
      <c r="Q93" s="310">
        <v>92</v>
      </c>
      <c r="R93" s="310" t="s">
        <v>724</v>
      </c>
      <c r="S93" s="312">
        <v>282</v>
      </c>
      <c r="T93" s="312">
        <v>305</v>
      </c>
      <c r="U93" s="312">
        <v>274</v>
      </c>
      <c r="V93" s="312">
        <v>111</v>
      </c>
      <c r="W93" s="312">
        <v>154</v>
      </c>
      <c r="X93" s="312">
        <v>160</v>
      </c>
      <c r="Y93" s="312">
        <v>134</v>
      </c>
      <c r="Z93" s="312">
        <v>157</v>
      </c>
      <c r="AA93" s="312">
        <v>227</v>
      </c>
      <c r="AB93" s="312">
        <v>256</v>
      </c>
      <c r="AC93" s="312">
        <v>564</v>
      </c>
      <c r="AD93" s="312">
        <v>790</v>
      </c>
      <c r="AE93" s="312">
        <v>689</v>
      </c>
      <c r="AF93" s="312">
        <v>797</v>
      </c>
      <c r="AG93" s="312">
        <v>509</v>
      </c>
      <c r="AH93" s="312">
        <v>459</v>
      </c>
      <c r="AI93" s="312">
        <v>426</v>
      </c>
      <c r="AJ93" s="312">
        <v>310</v>
      </c>
      <c r="AK93" s="312">
        <v>217</v>
      </c>
      <c r="AL93" s="313">
        <v>191</v>
      </c>
      <c r="AM93" s="313">
        <v>292</v>
      </c>
      <c r="AN93" s="313">
        <v>493</v>
      </c>
      <c r="AO93" s="313">
        <v>761</v>
      </c>
      <c r="AP93" s="313">
        <v>855</v>
      </c>
      <c r="AQ93" s="314">
        <v>925</v>
      </c>
      <c r="AR93" s="315">
        <v>713</v>
      </c>
      <c r="AS93" s="315">
        <v>572</v>
      </c>
      <c r="AT93" s="315">
        <v>449</v>
      </c>
      <c r="AU93" s="315">
        <v>418</v>
      </c>
      <c r="AV93" s="315">
        <v>339</v>
      </c>
      <c r="AW93" s="315">
        <v>248</v>
      </c>
      <c r="AX93" s="315">
        <v>221</v>
      </c>
      <c r="AY93" s="315">
        <v>270</v>
      </c>
      <c r="AZ93" s="315">
        <v>558</v>
      </c>
      <c r="BA93" s="315">
        <v>854</v>
      </c>
      <c r="BB93" s="315">
        <v>1082</v>
      </c>
      <c r="BC93" s="315">
        <v>1069</v>
      </c>
      <c r="BD93" s="315">
        <v>918</v>
      </c>
      <c r="BE93" s="315">
        <v>629</v>
      </c>
      <c r="BF93" s="315">
        <v>536</v>
      </c>
      <c r="BG93" s="315">
        <v>430</v>
      </c>
      <c r="BH93" s="315">
        <v>426</v>
      </c>
      <c r="BI93" s="315">
        <v>305</v>
      </c>
      <c r="BJ93" s="315">
        <v>231</v>
      </c>
      <c r="BK93" s="315">
        <v>279</v>
      </c>
      <c r="BL93" s="315">
        <v>648</v>
      </c>
      <c r="BM93" s="315">
        <v>906</v>
      </c>
      <c r="BN93" s="315">
        <v>1105</v>
      </c>
      <c r="BO93" s="315">
        <v>1227</v>
      </c>
      <c r="BP93" s="316">
        <v>890</v>
      </c>
      <c r="BQ93" s="306">
        <v>18840</v>
      </c>
    </row>
    <row customHeight="true" ht="13" r="94">
      <c r="A94" s="304"/>
      <c r="Q94" s="310">
        <v>93</v>
      </c>
      <c r="R94" s="310" t="s">
        <v>724</v>
      </c>
      <c r="S94" s="312">
        <v>273</v>
      </c>
      <c r="T94" s="312">
        <v>304</v>
      </c>
      <c r="U94" s="312">
        <v>274</v>
      </c>
      <c r="V94" s="312">
        <v>109</v>
      </c>
      <c r="W94" s="312">
        <v>154</v>
      </c>
      <c r="X94" s="312">
        <v>159</v>
      </c>
      <c r="Y94" s="312">
        <v>133</v>
      </c>
      <c r="Z94" s="312">
        <v>155</v>
      </c>
      <c r="AA94" s="312">
        <v>224</v>
      </c>
      <c r="AB94" s="312">
        <v>254</v>
      </c>
      <c r="AC94" s="312">
        <v>558</v>
      </c>
      <c r="AD94" s="312">
        <v>784</v>
      </c>
      <c r="AE94" s="312">
        <v>674</v>
      </c>
      <c r="AF94" s="312">
        <v>793</v>
      </c>
      <c r="AG94" s="312">
        <v>504</v>
      </c>
      <c r="AH94" s="312">
        <v>453</v>
      </c>
      <c r="AI94" s="312">
        <v>423</v>
      </c>
      <c r="AJ94" s="312">
        <v>310</v>
      </c>
      <c r="AK94" s="312">
        <v>212</v>
      </c>
      <c r="AL94" s="313">
        <v>191</v>
      </c>
      <c r="AM94" s="313">
        <v>292</v>
      </c>
      <c r="AN94" s="313">
        <v>492</v>
      </c>
      <c r="AO94" s="313">
        <v>740</v>
      </c>
      <c r="AP94" s="313">
        <v>846</v>
      </c>
      <c r="AQ94" s="314">
        <v>923</v>
      </c>
      <c r="AR94" s="315">
        <v>712</v>
      </c>
      <c r="AS94" s="315">
        <v>565</v>
      </c>
      <c r="AT94" s="315">
        <v>449</v>
      </c>
      <c r="AU94" s="315">
        <v>410</v>
      </c>
      <c r="AV94" s="315">
        <v>339</v>
      </c>
      <c r="AW94" s="315">
        <v>238</v>
      </c>
      <c r="AX94" s="315">
        <v>220</v>
      </c>
      <c r="AY94" s="315">
        <v>269</v>
      </c>
      <c r="AZ94" s="315">
        <v>550</v>
      </c>
      <c r="BA94" s="315">
        <v>852</v>
      </c>
      <c r="BB94" s="315">
        <v>1077</v>
      </c>
      <c r="BC94" s="315">
        <v>1059</v>
      </c>
      <c r="BD94" s="315">
        <v>915</v>
      </c>
      <c r="BE94" s="315">
        <v>626</v>
      </c>
      <c r="BF94" s="315">
        <v>531</v>
      </c>
      <c r="BG94" s="315">
        <v>429</v>
      </c>
      <c r="BH94" s="315">
        <v>425</v>
      </c>
      <c r="BI94" s="315">
        <v>295</v>
      </c>
      <c r="BJ94" s="315">
        <v>231</v>
      </c>
      <c r="BK94" s="315">
        <v>275</v>
      </c>
      <c r="BL94" s="315">
        <v>628</v>
      </c>
      <c r="BM94" s="315">
        <v>905</v>
      </c>
      <c r="BN94" s="315">
        <v>1100</v>
      </c>
      <c r="BO94" s="315">
        <v>1208</v>
      </c>
      <c r="BP94" s="316">
        <v>889</v>
      </c>
      <c r="BQ94" s="306">
        <v>18681</v>
      </c>
    </row>
    <row customHeight="true" ht="13" r="95">
      <c r="A95" s="304"/>
      <c r="Q95" s="310">
        <v>94</v>
      </c>
      <c r="R95" s="310" t="s">
        <v>724</v>
      </c>
      <c r="S95" s="312">
        <v>272</v>
      </c>
      <c r="T95" s="312">
        <v>302</v>
      </c>
      <c r="U95" s="312">
        <v>271</v>
      </c>
      <c r="V95" s="312">
        <v>109</v>
      </c>
      <c r="W95" s="312">
        <v>153</v>
      </c>
      <c r="X95" s="312">
        <v>152</v>
      </c>
      <c r="Y95" s="312">
        <v>131</v>
      </c>
      <c r="Z95" s="312">
        <v>153</v>
      </c>
      <c r="AA95" s="312">
        <v>223</v>
      </c>
      <c r="AB95" s="312">
        <v>253</v>
      </c>
      <c r="AC95" s="312">
        <v>551</v>
      </c>
      <c r="AD95" s="312">
        <v>781</v>
      </c>
      <c r="AE95" s="312">
        <v>670</v>
      </c>
      <c r="AF95" s="312">
        <v>778</v>
      </c>
      <c r="AG95" s="312">
        <v>494</v>
      </c>
      <c r="AH95" s="312">
        <v>449</v>
      </c>
      <c r="AI95" s="312">
        <v>422</v>
      </c>
      <c r="AJ95" s="312">
        <v>310</v>
      </c>
      <c r="AK95" s="312">
        <v>211</v>
      </c>
      <c r="AL95" s="313">
        <v>185</v>
      </c>
      <c r="AM95" s="313">
        <v>291</v>
      </c>
      <c r="AN95" s="313">
        <v>489</v>
      </c>
      <c r="AO95" s="313">
        <v>736</v>
      </c>
      <c r="AP95" s="313">
        <v>846</v>
      </c>
      <c r="AQ95" s="314">
        <v>856</v>
      </c>
      <c r="AR95" s="315">
        <v>709</v>
      </c>
      <c r="AS95" s="315">
        <v>562</v>
      </c>
      <c r="AT95" s="315">
        <v>440</v>
      </c>
      <c r="AU95" s="315">
        <v>403</v>
      </c>
      <c r="AV95" s="315">
        <v>336</v>
      </c>
      <c r="AW95" s="315">
        <v>235</v>
      </c>
      <c r="AX95" s="315">
        <v>219</v>
      </c>
      <c r="AY95" s="315">
        <v>263</v>
      </c>
      <c r="AZ95" s="315">
        <v>545</v>
      </c>
      <c r="BA95" s="315">
        <v>841</v>
      </c>
      <c r="BB95" s="315">
        <v>1072</v>
      </c>
      <c r="BC95" s="315">
        <v>1046</v>
      </c>
      <c r="BD95" s="315">
        <v>892</v>
      </c>
      <c r="BE95" s="315">
        <v>625</v>
      </c>
      <c r="BF95" s="315">
        <v>527</v>
      </c>
      <c r="BG95" s="315">
        <v>428</v>
      </c>
      <c r="BH95" s="315">
        <v>413</v>
      </c>
      <c r="BI95" s="315">
        <v>293</v>
      </c>
      <c r="BJ95" s="315">
        <v>230</v>
      </c>
      <c r="BK95" s="315">
        <v>275</v>
      </c>
      <c r="BL95" s="315">
        <v>619</v>
      </c>
      <c r="BM95" s="315">
        <v>904</v>
      </c>
      <c r="BN95" s="315">
        <v>1090</v>
      </c>
      <c r="BO95" s="315">
        <v>1183</v>
      </c>
      <c r="BP95" s="316">
        <v>875</v>
      </c>
      <c r="BQ95" s="306">
        <v>18428</v>
      </c>
    </row>
    <row customHeight="true" ht="13" r="96">
      <c r="A96" s="304"/>
      <c r="Q96" s="310">
        <v>95</v>
      </c>
      <c r="R96" s="310" t="s">
        <v>724</v>
      </c>
      <c r="S96" s="312">
        <v>268</v>
      </c>
      <c r="T96" s="312">
        <v>281</v>
      </c>
      <c r="U96" s="312">
        <v>262</v>
      </c>
      <c r="V96" s="312">
        <v>101</v>
      </c>
      <c r="W96" s="312">
        <v>153</v>
      </c>
      <c r="X96" s="312">
        <v>152</v>
      </c>
      <c r="Y96" s="312">
        <v>131</v>
      </c>
      <c r="Z96" s="312">
        <v>151</v>
      </c>
      <c r="AA96" s="312">
        <v>222</v>
      </c>
      <c r="AB96" s="312">
        <v>247</v>
      </c>
      <c r="AC96" s="312">
        <v>548</v>
      </c>
      <c r="AD96" s="312">
        <v>767</v>
      </c>
      <c r="AE96" s="312">
        <v>668</v>
      </c>
      <c r="AF96" s="312">
        <v>777</v>
      </c>
      <c r="AG96" s="312">
        <v>487</v>
      </c>
      <c r="AH96" s="312">
        <v>445</v>
      </c>
      <c r="AI96" s="312">
        <v>420</v>
      </c>
      <c r="AJ96" s="312">
        <v>309</v>
      </c>
      <c r="AK96" s="312">
        <v>211</v>
      </c>
      <c r="AL96" s="313">
        <v>184</v>
      </c>
      <c r="AM96" s="313">
        <v>289</v>
      </c>
      <c r="AN96" s="313">
        <v>487</v>
      </c>
      <c r="AO96" s="313">
        <v>707</v>
      </c>
      <c r="AP96" s="313">
        <v>840</v>
      </c>
      <c r="AQ96" s="314">
        <v>842</v>
      </c>
      <c r="AR96" s="315">
        <v>699</v>
      </c>
      <c r="AS96" s="315">
        <v>551</v>
      </c>
      <c r="AT96" s="315">
        <v>438</v>
      </c>
      <c r="AU96" s="315">
        <v>403</v>
      </c>
      <c r="AV96" s="315">
        <v>334</v>
      </c>
      <c r="AW96" s="315">
        <v>233</v>
      </c>
      <c r="AX96" s="315">
        <v>215</v>
      </c>
      <c r="AY96" s="315">
        <v>262</v>
      </c>
      <c r="AZ96" s="315">
        <v>543</v>
      </c>
      <c r="BA96" s="315">
        <v>839</v>
      </c>
      <c r="BB96" s="315">
        <v>1063</v>
      </c>
      <c r="BC96" s="315">
        <v>1041</v>
      </c>
      <c r="BD96" s="315">
        <v>890</v>
      </c>
      <c r="BE96" s="315">
        <v>624</v>
      </c>
      <c r="BF96" s="315">
        <v>524</v>
      </c>
      <c r="BG96" s="315">
        <v>425</v>
      </c>
      <c r="BH96" s="315">
        <v>411</v>
      </c>
      <c r="BI96" s="315">
        <v>287</v>
      </c>
      <c r="BJ96" s="315">
        <v>229</v>
      </c>
      <c r="BK96" s="315">
        <v>265</v>
      </c>
      <c r="BL96" s="315">
        <v>615</v>
      </c>
      <c r="BM96" s="315">
        <v>901</v>
      </c>
      <c r="BN96" s="315">
        <v>1089</v>
      </c>
      <c r="BO96" s="315">
        <v>1159</v>
      </c>
      <c r="BP96" s="316">
        <v>875</v>
      </c>
      <c r="BQ96" s="306">
        <v>18264</v>
      </c>
    </row>
    <row customHeight="true" ht="13" r="97">
      <c r="A97" s="304"/>
      <c r="Q97" s="310">
        <v>96</v>
      </c>
      <c r="R97" s="310" t="s">
        <v>724</v>
      </c>
      <c r="S97" s="312">
        <v>267</v>
      </c>
      <c r="T97" s="312">
        <v>278</v>
      </c>
      <c r="U97" s="312">
        <v>259</v>
      </c>
      <c r="V97" s="312">
        <v>100</v>
      </c>
      <c r="W97" s="312">
        <v>152</v>
      </c>
      <c r="X97" s="312">
        <v>151</v>
      </c>
      <c r="Y97" s="312">
        <v>129</v>
      </c>
      <c r="Z97" s="312">
        <v>149</v>
      </c>
      <c r="AA97" s="312">
        <v>220</v>
      </c>
      <c r="AB97" s="312">
        <v>246</v>
      </c>
      <c r="AC97" s="312">
        <v>543</v>
      </c>
      <c r="AD97" s="312">
        <v>757</v>
      </c>
      <c r="AE97" s="312">
        <v>663</v>
      </c>
      <c r="AF97" s="312">
        <v>753</v>
      </c>
      <c r="AG97" s="312">
        <v>486</v>
      </c>
      <c r="AH97" s="312">
        <v>439</v>
      </c>
      <c r="AI97" s="312">
        <v>415</v>
      </c>
      <c r="AJ97" s="312">
        <v>305</v>
      </c>
      <c r="AK97" s="312">
        <v>210</v>
      </c>
      <c r="AL97" s="313">
        <v>181</v>
      </c>
      <c r="AM97" s="313">
        <v>286</v>
      </c>
      <c r="AN97" s="313">
        <v>483</v>
      </c>
      <c r="AO97" s="313">
        <v>706</v>
      </c>
      <c r="AP97" s="313">
        <v>838</v>
      </c>
      <c r="AQ97" s="322">
        <v>838</v>
      </c>
      <c r="AR97" s="315">
        <v>686</v>
      </c>
      <c r="AS97" s="315">
        <v>549</v>
      </c>
      <c r="AT97" s="315">
        <v>437</v>
      </c>
      <c r="AU97" s="315">
        <v>402</v>
      </c>
      <c r="AV97" s="315">
        <v>332</v>
      </c>
      <c r="AW97" s="315">
        <v>230</v>
      </c>
      <c r="AX97" s="315">
        <v>214</v>
      </c>
      <c r="AY97" s="315">
        <v>261</v>
      </c>
      <c r="AZ97" s="315">
        <v>540</v>
      </c>
      <c r="BA97" s="315">
        <v>827</v>
      </c>
      <c r="BB97" s="315">
        <v>1063</v>
      </c>
      <c r="BC97" s="315">
        <v>1019</v>
      </c>
      <c r="BD97" s="315">
        <v>862</v>
      </c>
      <c r="BE97" s="315">
        <v>618</v>
      </c>
      <c r="BF97" s="315">
        <v>520</v>
      </c>
      <c r="BG97" s="315">
        <v>422</v>
      </c>
      <c r="BH97" s="315">
        <v>403</v>
      </c>
      <c r="BI97" s="315">
        <v>279</v>
      </c>
      <c r="BJ97" s="315">
        <v>228</v>
      </c>
      <c r="BK97" s="315">
        <v>263</v>
      </c>
      <c r="BL97" s="315">
        <v>611</v>
      </c>
      <c r="BM97" s="315">
        <v>899</v>
      </c>
      <c r="BN97" s="315">
        <v>1086</v>
      </c>
      <c r="BO97" s="315">
        <v>1156</v>
      </c>
      <c r="BP97" s="316">
        <v>874</v>
      </c>
      <c r="BQ97" s="306">
        <v>18113</v>
      </c>
    </row>
    <row customHeight="true" ht="13" r="98">
      <c r="A98" s="304"/>
      <c r="Q98" s="310">
        <v>97</v>
      </c>
      <c r="R98" s="310" t="s">
        <v>724</v>
      </c>
      <c r="S98" s="312">
        <v>267</v>
      </c>
      <c r="T98" s="312">
        <v>277</v>
      </c>
      <c r="U98" s="312">
        <v>257</v>
      </c>
      <c r="V98" s="312">
        <v>100</v>
      </c>
      <c r="W98" s="312">
        <v>150</v>
      </c>
      <c r="X98" s="312">
        <v>144</v>
      </c>
      <c r="Y98" s="312">
        <v>128</v>
      </c>
      <c r="Z98" s="312">
        <v>147</v>
      </c>
      <c r="AA98" s="312">
        <v>220</v>
      </c>
      <c r="AB98" s="312">
        <v>246</v>
      </c>
      <c r="AC98" s="312">
        <v>541</v>
      </c>
      <c r="AD98" s="312">
        <v>756</v>
      </c>
      <c r="AE98" s="312">
        <v>659</v>
      </c>
      <c r="AF98" s="312">
        <v>752</v>
      </c>
      <c r="AG98" s="312">
        <v>484</v>
      </c>
      <c r="AH98" s="312">
        <v>437</v>
      </c>
      <c r="AI98" s="312">
        <v>414</v>
      </c>
      <c r="AJ98" s="312">
        <v>293</v>
      </c>
      <c r="AK98" s="312">
        <v>208</v>
      </c>
      <c r="AL98" s="313">
        <v>180</v>
      </c>
      <c r="AM98" s="313">
        <v>278</v>
      </c>
      <c r="AN98" s="313">
        <v>482</v>
      </c>
      <c r="AO98" s="313">
        <v>704</v>
      </c>
      <c r="AP98" s="313">
        <v>834</v>
      </c>
      <c r="AQ98" s="322">
        <v>823</v>
      </c>
      <c r="AR98" s="315">
        <v>683</v>
      </c>
      <c r="AS98" s="315">
        <v>546</v>
      </c>
      <c r="AT98" s="315">
        <v>437</v>
      </c>
      <c r="AU98" s="315">
        <v>400</v>
      </c>
      <c r="AV98" s="315">
        <v>328</v>
      </c>
      <c r="AW98" s="315">
        <v>225</v>
      </c>
      <c r="AX98" s="315">
        <v>214</v>
      </c>
      <c r="AY98" s="315">
        <v>260</v>
      </c>
      <c r="AZ98" s="315">
        <v>535</v>
      </c>
      <c r="BA98" s="315">
        <v>827</v>
      </c>
      <c r="BB98" s="315">
        <v>1051</v>
      </c>
      <c r="BC98" s="315">
        <v>1019</v>
      </c>
      <c r="BD98" s="315">
        <v>856</v>
      </c>
      <c r="BE98" s="315">
        <v>617</v>
      </c>
      <c r="BF98" s="315">
        <v>519</v>
      </c>
      <c r="BG98" s="315">
        <v>409</v>
      </c>
      <c r="BH98" s="315">
        <v>401</v>
      </c>
      <c r="BI98" s="315">
        <v>279</v>
      </c>
      <c r="BJ98" s="315">
        <v>228</v>
      </c>
      <c r="BK98" s="315">
        <v>261</v>
      </c>
      <c r="BL98" s="315">
        <v>602</v>
      </c>
      <c r="BM98" s="315">
        <v>853</v>
      </c>
      <c r="BN98" s="315">
        <v>1082</v>
      </c>
      <c r="BO98" s="315">
        <v>1140</v>
      </c>
      <c r="BP98" s="316">
        <v>871</v>
      </c>
      <c r="BQ98" s="306">
        <v>17944</v>
      </c>
    </row>
    <row customHeight="true" ht="13" r="99">
      <c r="A99" s="304"/>
      <c r="Q99" s="310">
        <v>98</v>
      </c>
      <c r="R99" s="310" t="s">
        <v>724</v>
      </c>
      <c r="S99" s="312">
        <v>260</v>
      </c>
      <c r="T99" s="312">
        <v>277</v>
      </c>
      <c r="U99" s="312">
        <v>257</v>
      </c>
      <c r="V99" s="312">
        <v>98</v>
      </c>
      <c r="W99" s="312">
        <v>150</v>
      </c>
      <c r="X99" s="312">
        <v>138</v>
      </c>
      <c r="Y99" s="312">
        <v>128</v>
      </c>
      <c r="Z99" s="312">
        <v>146</v>
      </c>
      <c r="AA99" s="312">
        <v>216</v>
      </c>
      <c r="AB99" s="312">
        <v>243</v>
      </c>
      <c r="AC99" s="312">
        <v>537</v>
      </c>
      <c r="AD99" s="312">
        <v>746</v>
      </c>
      <c r="AE99" s="312">
        <v>654</v>
      </c>
      <c r="AF99" s="312">
        <v>751</v>
      </c>
      <c r="AG99" s="312">
        <v>481</v>
      </c>
      <c r="AH99" s="312">
        <v>435</v>
      </c>
      <c r="AI99" s="312">
        <v>400</v>
      </c>
      <c r="AJ99" s="312">
        <v>292</v>
      </c>
      <c r="AK99" s="312">
        <v>207</v>
      </c>
      <c r="AL99" s="313">
        <v>178</v>
      </c>
      <c r="AM99" s="313">
        <v>273</v>
      </c>
      <c r="AN99" s="313">
        <v>467</v>
      </c>
      <c r="AO99" s="313">
        <v>694</v>
      </c>
      <c r="AP99" s="313">
        <v>833</v>
      </c>
      <c r="AQ99" s="322">
        <v>813</v>
      </c>
      <c r="AR99" s="315">
        <v>681</v>
      </c>
      <c r="AS99" s="315">
        <v>544</v>
      </c>
      <c r="AT99" s="315">
        <v>437</v>
      </c>
      <c r="AU99" s="315">
        <v>396</v>
      </c>
      <c r="AV99" s="315">
        <v>321</v>
      </c>
      <c r="AW99" s="315">
        <v>222</v>
      </c>
      <c r="AX99" s="315">
        <v>212</v>
      </c>
      <c r="AY99" s="315">
        <v>255</v>
      </c>
      <c r="AZ99" s="315">
        <v>528</v>
      </c>
      <c r="BA99" s="315">
        <v>803</v>
      </c>
      <c r="BB99" s="315">
        <v>1045</v>
      </c>
      <c r="BC99" s="315">
        <v>1012</v>
      </c>
      <c r="BD99" s="315">
        <v>844</v>
      </c>
      <c r="BE99" s="315">
        <v>615</v>
      </c>
      <c r="BF99" s="315">
        <v>519</v>
      </c>
      <c r="BG99" s="315">
        <v>405</v>
      </c>
      <c r="BH99" s="315">
        <v>396</v>
      </c>
      <c r="BI99" s="315">
        <v>279</v>
      </c>
      <c r="BJ99" s="315">
        <v>224</v>
      </c>
      <c r="BK99" s="315">
        <v>260</v>
      </c>
      <c r="BL99" s="315">
        <v>601</v>
      </c>
      <c r="BM99" s="315">
        <v>844</v>
      </c>
      <c r="BN99" s="315">
        <v>1081</v>
      </c>
      <c r="BO99" s="315">
        <v>1128</v>
      </c>
      <c r="BP99" s="316">
        <v>864</v>
      </c>
      <c r="BQ99" s="306">
        <v>17774</v>
      </c>
    </row>
    <row customHeight="true" ht="13" r="100">
      <c r="A100" s="304"/>
      <c r="Q100" s="310">
        <v>99</v>
      </c>
      <c r="R100" s="323"/>
      <c r="S100" s="312">
        <v>240</v>
      </c>
      <c r="T100" s="312">
        <v>276</v>
      </c>
      <c r="U100" s="312">
        <v>254</v>
      </c>
      <c r="V100" s="312">
        <v>98</v>
      </c>
      <c r="W100" s="312">
        <v>146</v>
      </c>
      <c r="X100" s="312">
        <v>137</v>
      </c>
      <c r="Y100" s="312">
        <v>123</v>
      </c>
      <c r="Z100" s="312">
        <v>145</v>
      </c>
      <c r="AA100" s="312">
        <v>197</v>
      </c>
      <c r="AB100" s="312">
        <v>239</v>
      </c>
      <c r="AC100" s="312">
        <v>528</v>
      </c>
      <c r="AD100" s="312">
        <v>733</v>
      </c>
      <c r="AE100" s="312">
        <v>634</v>
      </c>
      <c r="AF100" s="312">
        <v>739</v>
      </c>
      <c r="AG100" s="312">
        <v>473</v>
      </c>
      <c r="AH100" s="312">
        <v>434</v>
      </c>
      <c r="AI100" s="312">
        <v>397</v>
      </c>
      <c r="AJ100" s="312">
        <v>274</v>
      </c>
      <c r="AK100" s="312">
        <v>205</v>
      </c>
      <c r="AL100" s="324">
        <v>177</v>
      </c>
      <c r="AM100" s="324">
        <v>271</v>
      </c>
      <c r="AN100" s="324">
        <v>465</v>
      </c>
      <c r="AO100" s="324">
        <v>689</v>
      </c>
      <c r="AP100" s="324">
        <v>832</v>
      </c>
      <c r="AQ100" s="324">
        <v>799</v>
      </c>
      <c r="AR100" s="315">
        <v>674</v>
      </c>
      <c r="AS100" s="315">
        <v>543</v>
      </c>
      <c r="AT100" s="315">
        <v>431</v>
      </c>
      <c r="AU100" s="315">
        <v>396</v>
      </c>
      <c r="AV100" s="315">
        <v>321</v>
      </c>
      <c r="AW100" s="315">
        <v>220</v>
      </c>
      <c r="AX100" s="315">
        <v>207</v>
      </c>
      <c r="AY100" s="315">
        <v>254</v>
      </c>
      <c r="AZ100" s="315">
        <v>519</v>
      </c>
      <c r="BA100" s="315">
        <v>797</v>
      </c>
      <c r="BB100" s="315">
        <v>1040</v>
      </c>
      <c r="BC100" s="315">
        <v>1011</v>
      </c>
      <c r="BD100" s="315">
        <v>844</v>
      </c>
      <c r="BE100" s="315">
        <v>610</v>
      </c>
      <c r="BF100" s="316">
        <v>516</v>
      </c>
      <c r="BG100" s="316">
        <v>403</v>
      </c>
      <c r="BH100" s="316">
        <v>393</v>
      </c>
      <c r="BI100" s="316">
        <v>278</v>
      </c>
      <c r="BJ100" s="316">
        <v>215</v>
      </c>
      <c r="BK100" s="316">
        <v>259</v>
      </c>
      <c r="BL100" s="316">
        <v>598</v>
      </c>
      <c r="BM100" s="316">
        <v>833</v>
      </c>
      <c r="BN100" s="316">
        <v>1074</v>
      </c>
      <c r="BO100" s="316">
        <v>1123</v>
      </c>
      <c r="BP100" s="316">
        <v>864</v>
      </c>
      <c r="BQ100" s="306">
        <v>17656</v>
      </c>
    </row>
    <row customHeight="true" ht="13" r="101">
      <c r="A101" s="304"/>
      <c r="Q101" s="310">
        <v>100</v>
      </c>
      <c r="R101" s="323"/>
      <c r="S101" s="312">
        <v>235</v>
      </c>
      <c r="T101" s="312">
        <v>276</v>
      </c>
      <c r="U101" s="312">
        <v>251</v>
      </c>
      <c r="V101" s="325">
        <v>93</v>
      </c>
      <c r="W101" s="312">
        <v>146</v>
      </c>
      <c r="X101" s="312">
        <v>134</v>
      </c>
      <c r="Y101" s="312">
        <v>122</v>
      </c>
      <c r="Z101" s="312">
        <v>144</v>
      </c>
      <c r="AA101" s="312">
        <v>195</v>
      </c>
      <c r="AB101" s="312">
        <v>239</v>
      </c>
      <c r="AC101" s="312">
        <v>523</v>
      </c>
      <c r="AD101" s="312">
        <v>732</v>
      </c>
      <c r="AE101" s="312">
        <v>632</v>
      </c>
      <c r="AF101" s="312">
        <v>738</v>
      </c>
      <c r="AG101" s="312">
        <v>471</v>
      </c>
      <c r="AH101" s="312">
        <v>432</v>
      </c>
      <c r="AI101" s="312">
        <v>384</v>
      </c>
      <c r="AJ101" s="312">
        <v>266</v>
      </c>
      <c r="AK101" s="312">
        <v>205</v>
      </c>
      <c r="AL101" s="324">
        <v>176</v>
      </c>
      <c r="AM101" s="324">
        <v>269</v>
      </c>
      <c r="AN101" s="324">
        <v>458</v>
      </c>
      <c r="AO101" s="324">
        <v>689</v>
      </c>
      <c r="AP101" s="324">
        <v>831</v>
      </c>
      <c r="AQ101" s="324">
        <v>798</v>
      </c>
      <c r="AR101" s="326">
        <v>650</v>
      </c>
      <c r="AS101" s="326">
        <v>541</v>
      </c>
      <c r="AT101" s="326">
        <v>431</v>
      </c>
      <c r="AU101" s="326">
        <v>393</v>
      </c>
      <c r="AV101" s="326">
        <v>318</v>
      </c>
      <c r="AW101" s="326">
        <v>219</v>
      </c>
      <c r="AX101" s="326">
        <v>204</v>
      </c>
      <c r="AY101" s="326">
        <v>254</v>
      </c>
      <c r="AZ101" s="326">
        <v>497</v>
      </c>
      <c r="BA101" s="326">
        <v>773</v>
      </c>
      <c r="BB101" s="326">
        <v>1039</v>
      </c>
      <c r="BC101" s="326">
        <v>1006</v>
      </c>
      <c r="BD101" s="326">
        <v>831</v>
      </c>
      <c r="BE101" s="326">
        <v>606</v>
      </c>
      <c r="BF101" s="327">
        <v>504</v>
      </c>
      <c r="BG101" s="327">
        <v>401</v>
      </c>
      <c r="BH101" s="327">
        <v>385</v>
      </c>
      <c r="BI101" s="327">
        <v>275</v>
      </c>
      <c r="BJ101" s="327">
        <v>213</v>
      </c>
      <c r="BK101" s="327">
        <v>256</v>
      </c>
      <c r="BL101" s="327">
        <v>587</v>
      </c>
      <c r="BM101" s="327">
        <v>818</v>
      </c>
      <c r="BN101" s="327">
        <v>1048</v>
      </c>
      <c r="BO101" s="327">
        <v>1121</v>
      </c>
      <c r="BP101" s="327">
        <v>837</v>
      </c>
      <c r="BQ101" s="306">
        <v>17428</v>
      </c>
    </row>
    <row customHeight="true" ht="13" r="102">
      <c r="A102" s="304"/>
      <c r="Q102" s="310"/>
      <c r="AL102" s="328"/>
      <c r="AM102" s="328"/>
      <c r="AN102" s="328"/>
      <c r="AO102" s="328"/>
      <c r="AP102" s="328"/>
      <c r="AQ102" s="328"/>
      <c r="AR102" s="328"/>
      <c r="AS102" s="328"/>
      <c r="AT102" s="328"/>
      <c r="AU102" s="328"/>
      <c r="AV102" s="328"/>
      <c r="AW102" s="328"/>
      <c r="AX102" s="328"/>
      <c r="AY102" s="328"/>
      <c r="AZ102" s="328"/>
      <c r="BA102" s="328"/>
      <c r="BB102" s="328"/>
      <c r="BC102" s="328"/>
      <c r="BD102" s="328"/>
      <c r="BE102" s="328"/>
    </row>
    <row customHeight="true" ht="13" r="103">
      <c r="A103" s="304"/>
      <c r="Q103" s="310"/>
      <c r="AL103" s="328"/>
      <c r="AM103" s="328"/>
      <c r="AN103" s="328"/>
      <c r="AO103" s="328"/>
      <c r="AP103" s="328"/>
      <c r="AQ103" s="328"/>
      <c r="AR103" s="328"/>
      <c r="AS103" s="328"/>
      <c r="AT103" s="328"/>
      <c r="AU103" s="328"/>
      <c r="AV103" s="328"/>
      <c r="AW103" s="328"/>
      <c r="AX103" s="328"/>
      <c r="AY103" s="328"/>
      <c r="AZ103" s="328"/>
      <c r="BA103" s="328"/>
      <c r="BB103" s="328"/>
      <c r="BC103" s="328"/>
      <c r="BD103" s="328"/>
      <c r="BE103" s="328"/>
    </row>
    <row customHeight="true" ht="13" r="104">
      <c r="A104" s="304"/>
      <c r="AL104" s="328"/>
      <c r="AM104" s="328"/>
      <c r="AN104" s="328"/>
      <c r="AO104" s="328"/>
      <c r="AP104" s="328"/>
      <c r="AQ104" s="328"/>
      <c r="AR104" s="328"/>
      <c r="AS104" s="328"/>
      <c r="AT104" s="328"/>
      <c r="AU104" s="328"/>
      <c r="AV104" s="328"/>
      <c r="AW104" s="328"/>
      <c r="AX104" s="328"/>
      <c r="AY104" s="328"/>
      <c r="AZ104" s="328"/>
      <c r="BA104" s="328"/>
      <c r="BB104" s="328"/>
      <c r="BC104" s="328"/>
      <c r="BD104" s="328"/>
      <c r="BE104" s="328"/>
    </row>
    <row customHeight="true" ht="13" r="105">
      <c r="A105" s="304"/>
      <c r="AL105" s="328"/>
      <c r="AM105" s="328"/>
      <c r="AN105" s="328"/>
      <c r="AO105" s="328"/>
      <c r="AP105" s="328"/>
      <c r="AQ105" s="328"/>
      <c r="AR105" s="328"/>
      <c r="AS105" s="328"/>
      <c r="AT105" s="328"/>
      <c r="AU105" s="328"/>
      <c r="AV105" s="328"/>
      <c r="AW105" s="328"/>
      <c r="AX105" s="328"/>
      <c r="AY105" s="328"/>
      <c r="AZ105" s="328"/>
      <c r="BA105" s="328"/>
      <c r="BB105" s="328"/>
      <c r="BC105" s="328"/>
      <c r="BD105" s="328"/>
      <c r="BE105" s="328"/>
    </row>
    <row customHeight="true" ht="13" r="106">
      <c r="A106" s="304"/>
      <c r="AL106" s="328"/>
      <c r="AM106" s="328"/>
      <c r="AN106" s="328"/>
      <c r="AO106" s="328"/>
      <c r="AP106" s="328"/>
      <c r="AQ106" s="328"/>
      <c r="AR106" s="328"/>
      <c r="AS106" s="328"/>
      <c r="AT106" s="328"/>
      <c r="AU106" s="328"/>
      <c r="AV106" s="328"/>
      <c r="AW106" s="328"/>
      <c r="AX106" s="328"/>
      <c r="AY106" s="328"/>
      <c r="AZ106" s="328"/>
      <c r="BA106" s="328"/>
      <c r="BB106" s="328"/>
      <c r="BC106" s="328"/>
      <c r="BD106" s="328"/>
      <c r="BE106" s="328"/>
    </row>
    <row customHeight="true" ht="13" r="107">
      <c r="A107" s="304"/>
      <c r="AL107" s="328"/>
      <c r="AM107" s="328"/>
      <c r="AN107" s="328"/>
      <c r="AO107" s="328"/>
      <c r="AP107" s="328"/>
      <c r="AQ107" s="328"/>
      <c r="AR107" s="328"/>
      <c r="AS107" s="328"/>
      <c r="AT107" s="328"/>
      <c r="AU107" s="328"/>
      <c r="AV107" s="328"/>
      <c r="AW107" s="328"/>
      <c r="AX107" s="328"/>
      <c r="AY107" s="328"/>
      <c r="AZ107" s="328"/>
      <c r="BA107" s="328"/>
      <c r="BB107" s="328"/>
      <c r="BC107" s="328"/>
      <c r="BD107" s="328"/>
      <c r="BE107" s="328"/>
    </row>
    <row customHeight="true" ht="13" r="108">
      <c r="A108" s="304"/>
      <c r="AL108" s="328"/>
      <c r="AM108" s="328"/>
      <c r="AN108" s="328"/>
      <c r="AO108" s="328"/>
      <c r="AP108" s="328"/>
      <c r="AQ108" s="328"/>
      <c r="AR108" s="328"/>
      <c r="AS108" s="328"/>
      <c r="AT108" s="328"/>
      <c r="AU108" s="328"/>
      <c r="AV108" s="328"/>
      <c r="AW108" s="328"/>
      <c r="AX108" s="328"/>
      <c r="AY108" s="328"/>
      <c r="AZ108" s="328"/>
      <c r="BA108" s="328"/>
      <c r="BB108" s="328"/>
      <c r="BC108" s="328"/>
      <c r="BD108" s="328"/>
      <c r="BE108" s="328"/>
    </row>
    <row customHeight="true" ht="13" r="109">
      <c r="A109" s="304"/>
      <c r="AL109" s="328"/>
      <c r="AM109" s="328"/>
      <c r="AN109" s="328"/>
      <c r="AO109" s="328"/>
      <c r="AP109" s="328"/>
      <c r="AQ109" s="328"/>
      <c r="AR109" s="328"/>
      <c r="AS109" s="328"/>
      <c r="AT109" s="328"/>
      <c r="AU109" s="328"/>
      <c r="AV109" s="328"/>
      <c r="AW109" s="328"/>
      <c r="AX109" s="328"/>
      <c r="AY109" s="328"/>
      <c r="AZ109" s="328"/>
      <c r="BA109" s="328"/>
      <c r="BB109" s="328"/>
      <c r="BC109" s="328"/>
      <c r="BD109" s="328"/>
      <c r="BE109" s="328"/>
    </row>
    <row customHeight="true" ht="13" r="110">
      <c r="A110" s="304"/>
      <c r="AL110" s="328"/>
      <c r="AM110" s="328"/>
      <c r="AN110" s="328"/>
      <c r="AO110" s="328"/>
      <c r="AP110" s="328"/>
      <c r="AQ110" s="328"/>
      <c r="AR110" s="328"/>
      <c r="AS110" s="328"/>
      <c r="AT110" s="328"/>
      <c r="AU110" s="328"/>
      <c r="AV110" s="328"/>
      <c r="AW110" s="328"/>
      <c r="AX110" s="328"/>
      <c r="AY110" s="328"/>
      <c r="AZ110" s="328"/>
      <c r="BA110" s="328"/>
      <c r="BB110" s="328"/>
      <c r="BC110" s="328"/>
      <c r="BD110" s="328"/>
      <c r="BE110" s="328"/>
    </row>
    <row customHeight="true" ht="13" r="111">
      <c r="A111" s="304"/>
      <c r="AL111" s="328"/>
      <c r="AM111" s="328"/>
      <c r="AN111" s="328"/>
      <c r="AO111" s="328"/>
      <c r="AP111" s="328"/>
      <c r="AQ111" s="328"/>
      <c r="AR111" s="328"/>
      <c r="AS111" s="328"/>
      <c r="AT111" s="328"/>
      <c r="AU111" s="328"/>
      <c r="AV111" s="328"/>
      <c r="AW111" s="328"/>
      <c r="AX111" s="328"/>
      <c r="AY111" s="328"/>
      <c r="AZ111" s="328"/>
      <c r="BA111" s="328"/>
      <c r="BB111" s="328"/>
      <c r="BC111" s="328"/>
      <c r="BD111" s="328"/>
      <c r="BE111" s="328"/>
    </row>
    <row customHeight="true" ht="13" r="112">
      <c r="A112" s="304"/>
      <c r="AL112" s="328"/>
      <c r="AM112" s="328"/>
      <c r="AN112" s="328"/>
      <c r="AO112" s="328"/>
      <c r="AP112" s="328"/>
      <c r="AQ112" s="328"/>
      <c r="AR112" s="328"/>
      <c r="AS112" s="328"/>
      <c r="AT112" s="328"/>
      <c r="AU112" s="328"/>
      <c r="AV112" s="328"/>
      <c r="AW112" s="328"/>
      <c r="AX112" s="328"/>
      <c r="AY112" s="328"/>
      <c r="AZ112" s="328"/>
      <c r="BA112" s="328"/>
      <c r="BB112" s="328"/>
      <c r="BC112" s="328"/>
      <c r="BD112" s="328"/>
      <c r="BE112" s="328"/>
    </row>
    <row customHeight="true" ht="13" r="113">
      <c r="A113" s="304"/>
      <c r="AL113" s="328"/>
      <c r="AM113" s="328"/>
      <c r="AN113" s="328"/>
      <c r="AO113" s="328"/>
      <c r="AP113" s="328"/>
      <c r="AQ113" s="328"/>
      <c r="AR113" s="328"/>
      <c r="AS113" s="328"/>
      <c r="AT113" s="328"/>
      <c r="AU113" s="328"/>
      <c r="AV113" s="328"/>
      <c r="AW113" s="328"/>
      <c r="AX113" s="328"/>
      <c r="AY113" s="328"/>
      <c r="AZ113" s="328"/>
      <c r="BA113" s="328"/>
      <c r="BB113" s="328"/>
      <c r="BC113" s="328"/>
      <c r="BD113" s="328"/>
      <c r="BE113" s="328"/>
    </row>
    <row customHeight="true" ht="13" r="114">
      <c r="A114" s="304"/>
      <c r="AL114" s="328"/>
      <c r="AM114" s="328"/>
      <c r="AN114" s="328"/>
      <c r="AO114" s="328"/>
      <c r="AP114" s="328"/>
      <c r="AQ114" s="328"/>
      <c r="AR114" s="328"/>
      <c r="AS114" s="328"/>
      <c r="AT114" s="328"/>
      <c r="AU114" s="328"/>
      <c r="AV114" s="328"/>
      <c r="AW114" s="328"/>
      <c r="AX114" s="328"/>
      <c r="AY114" s="328"/>
      <c r="AZ114" s="328"/>
      <c r="BA114" s="328"/>
      <c r="BB114" s="328"/>
      <c r="BC114" s="328"/>
      <c r="BD114" s="328"/>
      <c r="BE114" s="328"/>
    </row>
    <row customHeight="true" ht="13" r="115">
      <c r="A115" s="304"/>
      <c r="AL115" s="328"/>
      <c r="AM115" s="328"/>
      <c r="AN115" s="328"/>
      <c r="AO115" s="328"/>
      <c r="AP115" s="328"/>
      <c r="AQ115" s="328"/>
      <c r="AR115" s="328"/>
      <c r="AS115" s="328"/>
      <c r="AT115" s="328"/>
      <c r="AU115" s="328"/>
      <c r="AV115" s="328"/>
      <c r="AW115" s="328"/>
      <c r="AX115" s="328"/>
      <c r="AY115" s="328"/>
      <c r="AZ115" s="328"/>
      <c r="BA115" s="328"/>
      <c r="BB115" s="328"/>
      <c r="BC115" s="328"/>
      <c r="BD115" s="328"/>
      <c r="BE115" s="328"/>
    </row>
    <row customHeight="true" ht="13" r="116">
      <c r="A116" s="304"/>
      <c r="AL116" s="328"/>
      <c r="AM116" s="328"/>
      <c r="AN116" s="328"/>
      <c r="AO116" s="328"/>
      <c r="AP116" s="328"/>
      <c r="AQ116" s="328"/>
      <c r="AR116" s="328"/>
      <c r="AS116" s="328"/>
      <c r="AT116" s="328"/>
      <c r="AU116" s="328"/>
      <c r="AV116" s="328"/>
      <c r="AW116" s="328"/>
      <c r="AX116" s="328"/>
      <c r="AY116" s="328"/>
      <c r="AZ116" s="328"/>
      <c r="BA116" s="328"/>
      <c r="BB116" s="328"/>
      <c r="BC116" s="328"/>
      <c r="BD116" s="328"/>
      <c r="BE116" s="328"/>
    </row>
    <row customHeight="true" ht="13" r="117">
      <c r="A117" s="304"/>
      <c r="AL117" s="328"/>
      <c r="AM117" s="328"/>
      <c r="AN117" s="328"/>
      <c r="AO117" s="328"/>
      <c r="AP117" s="328"/>
      <c r="AQ117" s="328"/>
      <c r="AR117" s="328"/>
      <c r="AS117" s="328"/>
      <c r="AT117" s="328"/>
      <c r="AU117" s="328"/>
      <c r="AV117" s="328"/>
      <c r="AW117" s="328"/>
      <c r="AX117" s="328"/>
      <c r="AY117" s="328"/>
      <c r="AZ117" s="328"/>
      <c r="BA117" s="328"/>
      <c r="BB117" s="328"/>
      <c r="BC117" s="328"/>
      <c r="BD117" s="328"/>
      <c r="BE117" s="328"/>
    </row>
    <row customHeight="true" ht="13" r="118">
      <c r="A118" s="304"/>
      <c r="AL118" s="328"/>
      <c r="AM118" s="328"/>
      <c r="AN118" s="328"/>
      <c r="AO118" s="328"/>
      <c r="AP118" s="328"/>
      <c r="AQ118" s="328"/>
      <c r="AR118" s="328"/>
      <c r="AS118" s="328"/>
      <c r="AT118" s="328"/>
      <c r="AU118" s="328"/>
      <c r="AV118" s="328"/>
      <c r="AW118" s="328"/>
      <c r="AX118" s="328"/>
      <c r="AY118" s="328"/>
      <c r="AZ118" s="328"/>
      <c r="BA118" s="328"/>
      <c r="BB118" s="328"/>
      <c r="BC118" s="328"/>
      <c r="BD118" s="328"/>
      <c r="BE118" s="328"/>
    </row>
    <row customHeight="true" ht="13" r="119">
      <c r="A119" s="304"/>
      <c r="AL119" s="328"/>
      <c r="AM119" s="328"/>
      <c r="AN119" s="328"/>
      <c r="AO119" s="328"/>
      <c r="AP119" s="328"/>
      <c r="AQ119" s="328"/>
      <c r="AR119" s="328"/>
      <c r="AS119" s="328"/>
      <c r="AT119" s="328"/>
      <c r="AU119" s="328"/>
      <c r="AV119" s="328"/>
      <c r="AW119" s="328"/>
      <c r="AX119" s="328"/>
      <c r="AY119" s="328"/>
      <c r="AZ119" s="328"/>
      <c r="BA119" s="328"/>
      <c r="BB119" s="328"/>
      <c r="BC119" s="328"/>
      <c r="BD119" s="328"/>
      <c r="BE119" s="328"/>
    </row>
    <row customHeight="true" ht="13" r="120">
      <c r="A120" s="304"/>
      <c r="AL120" s="328"/>
      <c r="AM120" s="328"/>
      <c r="AN120" s="328"/>
      <c r="AO120" s="328"/>
      <c r="AP120" s="328"/>
      <c r="AQ120" s="328"/>
      <c r="AR120" s="328"/>
      <c r="AS120" s="328"/>
      <c r="AT120" s="328"/>
      <c r="AU120" s="328"/>
      <c r="AV120" s="328"/>
      <c r="AW120" s="328"/>
      <c r="AX120" s="328"/>
      <c r="AY120" s="328"/>
      <c r="AZ120" s="328"/>
      <c r="BA120" s="328"/>
      <c r="BB120" s="328"/>
      <c r="BC120" s="328"/>
      <c r="BD120" s="328"/>
      <c r="BE120" s="328"/>
    </row>
    <row customHeight="true" ht="13" r="121">
      <c r="A121" s="304"/>
      <c r="AL121" s="328"/>
      <c r="AM121" s="328"/>
      <c r="AN121" s="328"/>
      <c r="AO121" s="328"/>
      <c r="AP121" s="328"/>
      <c r="AQ121" s="328"/>
      <c r="AR121" s="328"/>
      <c r="AS121" s="328"/>
      <c r="AT121" s="328"/>
      <c r="AU121" s="328"/>
      <c r="AV121" s="328"/>
      <c r="AW121" s="328"/>
      <c r="AX121" s="328"/>
      <c r="AY121" s="328"/>
      <c r="AZ121" s="328"/>
      <c r="BA121" s="328"/>
      <c r="BB121" s="328"/>
      <c r="BC121" s="328"/>
      <c r="BD121" s="328"/>
      <c r="BE121" s="328"/>
    </row>
    <row customHeight="true" ht="13" r="122">
      <c r="A122" s="304"/>
      <c r="AL122" s="328"/>
      <c r="AM122" s="328"/>
      <c r="AN122" s="328"/>
      <c r="AO122" s="328"/>
      <c r="AP122" s="328"/>
      <c r="AQ122" s="328"/>
      <c r="AR122" s="328"/>
      <c r="AS122" s="328"/>
      <c r="AT122" s="328"/>
      <c r="AU122" s="328"/>
      <c r="AV122" s="328"/>
      <c r="AW122" s="328"/>
      <c r="AX122" s="328"/>
      <c r="AY122" s="328"/>
      <c r="AZ122" s="328"/>
      <c r="BA122" s="328"/>
      <c r="BB122" s="328"/>
      <c r="BC122" s="328"/>
      <c r="BD122" s="328"/>
      <c r="BE122" s="328"/>
    </row>
    <row customHeight="true" ht="13" r="123">
      <c r="A123" s="304"/>
      <c r="AL123" s="328"/>
      <c r="AM123" s="328"/>
      <c r="AN123" s="328"/>
      <c r="AO123" s="328"/>
      <c r="AP123" s="328"/>
      <c r="AQ123" s="328"/>
      <c r="AR123" s="328"/>
      <c r="AS123" s="328"/>
      <c r="AT123" s="328"/>
      <c r="AU123" s="328"/>
      <c r="AV123" s="328"/>
      <c r="AW123" s="328"/>
      <c r="AX123" s="328"/>
      <c r="AY123" s="328"/>
      <c r="AZ123" s="328"/>
      <c r="BA123" s="328"/>
      <c r="BB123" s="328"/>
      <c r="BC123" s="328"/>
      <c r="BD123" s="328"/>
      <c r="BE123" s="328"/>
    </row>
    <row customHeight="true" ht="13" r="124">
      <c r="A124" s="304"/>
      <c r="AL124" s="328"/>
      <c r="AM124" s="328"/>
      <c r="AN124" s="328"/>
      <c r="AO124" s="328"/>
      <c r="AP124" s="328"/>
      <c r="AQ124" s="328"/>
      <c r="AR124" s="328"/>
      <c r="AS124" s="328"/>
      <c r="AT124" s="328"/>
      <c r="AU124" s="328"/>
      <c r="AV124" s="328"/>
      <c r="AW124" s="328"/>
      <c r="AX124" s="328"/>
      <c r="AY124" s="328"/>
      <c r="AZ124" s="328"/>
      <c r="BA124" s="328"/>
      <c r="BB124" s="328"/>
      <c r="BC124" s="328"/>
      <c r="BD124" s="328"/>
      <c r="BE124" s="328"/>
    </row>
    <row customHeight="true" ht="13" r="125">
      <c r="A125" s="304"/>
      <c r="AL125" s="328"/>
      <c r="AM125" s="328"/>
      <c r="AN125" s="328"/>
      <c r="AO125" s="328"/>
      <c r="AP125" s="328"/>
      <c r="AQ125" s="328"/>
      <c r="AR125" s="328"/>
      <c r="AS125" s="328"/>
      <c r="AT125" s="328"/>
      <c r="AU125" s="328"/>
      <c r="AV125" s="328"/>
      <c r="AW125" s="328"/>
      <c r="AX125" s="328"/>
      <c r="AY125" s="328"/>
      <c r="AZ125" s="328"/>
      <c r="BA125" s="328"/>
      <c r="BB125" s="328"/>
      <c r="BC125" s="328"/>
      <c r="BD125" s="328"/>
      <c r="BE125" s="328"/>
    </row>
    <row customHeight="true" ht="13" r="126">
      <c r="A126" s="304"/>
      <c r="AL126" s="328"/>
      <c r="AM126" s="328"/>
      <c r="AN126" s="328"/>
      <c r="AO126" s="328"/>
      <c r="AP126" s="328"/>
      <c r="AQ126" s="328"/>
      <c r="AR126" s="328"/>
      <c r="AS126" s="328"/>
      <c r="AT126" s="328"/>
      <c r="AU126" s="328"/>
      <c r="AV126" s="328"/>
      <c r="AW126" s="328"/>
      <c r="AX126" s="328"/>
      <c r="AY126" s="328"/>
      <c r="AZ126" s="328"/>
      <c r="BA126" s="328"/>
      <c r="BB126" s="328"/>
      <c r="BC126" s="328"/>
      <c r="BD126" s="328"/>
      <c r="BE126" s="328"/>
    </row>
    <row customHeight="true" ht="13" r="127">
      <c r="A127" s="304"/>
      <c r="AL127" s="328"/>
      <c r="AM127" s="328"/>
      <c r="AN127" s="328"/>
      <c r="AO127" s="328"/>
      <c r="AP127" s="328"/>
      <c r="AQ127" s="328"/>
      <c r="AR127" s="328"/>
      <c r="AS127" s="328"/>
      <c r="AT127" s="328"/>
      <c r="AU127" s="328"/>
      <c r="AV127" s="328"/>
      <c r="AW127" s="328"/>
      <c r="AX127" s="328"/>
      <c r="AY127" s="328"/>
      <c r="AZ127" s="328"/>
      <c r="BA127" s="328"/>
      <c r="BB127" s="328"/>
      <c r="BC127" s="328"/>
      <c r="BD127" s="328"/>
      <c r="BE127" s="328"/>
    </row>
    <row customHeight="true" ht="13" r="128">
      <c r="A128" s="304"/>
      <c r="AL128" s="328"/>
      <c r="AM128" s="328"/>
      <c r="AN128" s="328"/>
      <c r="AO128" s="328"/>
      <c r="AP128" s="328"/>
      <c r="AQ128" s="328"/>
      <c r="AR128" s="328"/>
      <c r="AS128" s="328"/>
      <c r="AT128" s="328"/>
      <c r="AU128" s="328"/>
      <c r="AV128" s="328"/>
      <c r="AW128" s="328"/>
      <c r="AX128" s="328"/>
      <c r="AY128" s="328"/>
      <c r="AZ128" s="328"/>
      <c r="BA128" s="328"/>
      <c r="BB128" s="328"/>
      <c r="BC128" s="328"/>
      <c r="BD128" s="328"/>
      <c r="BE128" s="328"/>
    </row>
    <row customHeight="true" ht="13" r="129">
      <c r="A129" s="304"/>
      <c r="AL129" s="328"/>
      <c r="AM129" s="328"/>
      <c r="AN129" s="328"/>
      <c r="AO129" s="328"/>
      <c r="AP129" s="328"/>
      <c r="AQ129" s="328"/>
      <c r="AR129" s="328"/>
      <c r="AS129" s="328"/>
      <c r="AT129" s="328"/>
      <c r="AU129" s="328"/>
      <c r="AV129" s="328"/>
      <c r="AW129" s="328"/>
      <c r="AX129" s="328"/>
      <c r="AY129" s="328"/>
      <c r="AZ129" s="328"/>
      <c r="BA129" s="328"/>
      <c r="BB129" s="328"/>
      <c r="BC129" s="328"/>
      <c r="BD129" s="328"/>
      <c r="BE129" s="328"/>
    </row>
    <row r="130">
      <c r="A130" s="304"/>
    </row>
    <row r="131">
      <c r="A131" s="304"/>
    </row>
    <row r="132">
      <c r="A132" s="304"/>
    </row>
    <row r="133">
      <c r="A133" s="304"/>
    </row>
    <row r="134">
      <c r="A134" s="304"/>
    </row>
    <row r="135">
      <c r="A135" s="304"/>
    </row>
    <row r="136">
      <c r="A136" s="304"/>
    </row>
    <row r="137">
      <c r="A137" s="304"/>
    </row>
    <row r="138">
      <c r="A138" s="304"/>
    </row>
    <row r="139">
      <c r="A139" s="304"/>
    </row>
    <row r="140">
      <c r="A140" s="304"/>
    </row>
    <row r="141">
      <c r="A141" s="304"/>
    </row>
    <row r="142">
      <c r="A142" s="304"/>
    </row>
    <row r="143">
      <c r="A143" s="304"/>
    </row>
    <row r="144">
      <c r="A144" s="304"/>
    </row>
    <row r="145">
      <c r="A145" s="304"/>
    </row>
    <row r="146">
      <c r="A146" s="304"/>
    </row>
    <row r="147">
      <c r="A147" s="304"/>
    </row>
    <row r="148">
      <c r="A148" s="304"/>
    </row>
    <row r="149">
      <c r="A149" s="304"/>
    </row>
    <row r="150">
      <c r="A150" s="304"/>
    </row>
    <row r="151">
      <c r="A151" s="304"/>
    </row>
    <row r="152">
      <c r="A152" s="304"/>
    </row>
    <row r="153">
      <c r="A153" s="304"/>
    </row>
    <row r="154">
      <c r="A154" s="304"/>
    </row>
    <row r="155">
      <c r="A155" s="304"/>
    </row>
    <row r="156">
      <c r="A156" s="304"/>
    </row>
    <row r="157">
      <c r="A157" s="304"/>
    </row>
    <row r="158">
      <c r="A158" s="304"/>
    </row>
    <row r="159">
      <c r="A159" s="304"/>
    </row>
    <row r="160">
      <c r="A160" s="304"/>
    </row>
    <row r="161">
      <c r="A161" s="304"/>
    </row>
    <row r="162">
      <c r="A162" s="304"/>
    </row>
    <row r="163">
      <c r="A163" s="304"/>
    </row>
    <row r="164">
      <c r="A164" s="304"/>
    </row>
    <row r="165">
      <c r="A165" s="304"/>
    </row>
    <row r="166">
      <c r="A166" s="304"/>
    </row>
    <row r="167">
      <c r="A167" s="304"/>
    </row>
    <row r="168">
      <c r="A168" s="304"/>
    </row>
    <row r="169">
      <c r="A169" s="304"/>
    </row>
    <row r="170">
      <c r="A170" s="304"/>
    </row>
    <row r="171">
      <c r="A171" s="304"/>
    </row>
    <row r="172">
      <c r="A172" s="304"/>
    </row>
    <row r="173">
      <c r="A173" s="304"/>
    </row>
    <row r="174">
      <c r="A174" s="304"/>
    </row>
    <row r="175">
      <c r="A175" s="304"/>
    </row>
    <row r="176">
      <c r="A176" s="304"/>
    </row>
    <row r="177">
      <c r="A177" s="304"/>
    </row>
    <row r="178">
      <c r="A178" s="304"/>
    </row>
    <row r="179">
      <c r="A179" s="304"/>
    </row>
    <row r="180">
      <c r="A180" s="304"/>
    </row>
    <row r="181">
      <c r="A181" s="304"/>
    </row>
    <row r="182">
      <c r="A182" s="304"/>
    </row>
    <row r="183">
      <c r="A183" s="304"/>
    </row>
    <row r="184">
      <c r="A184" s="304"/>
    </row>
    <row r="185">
      <c r="A185" s="304"/>
    </row>
    <row r="186">
      <c r="A186" s="304"/>
    </row>
    <row r="187">
      <c r="A187" s="304"/>
    </row>
    <row r="188">
      <c r="A188" s="304"/>
    </row>
    <row r="189">
      <c r="A189" s="304"/>
    </row>
    <row r="190">
      <c r="A190" s="304"/>
    </row>
    <row r="191">
      <c r="A191" s="304"/>
    </row>
    <row r="192">
      <c r="A192" s="304"/>
    </row>
    <row r="193">
      <c r="A193" s="304"/>
    </row>
    <row r="194">
      <c r="A194" s="304"/>
    </row>
    <row r="195">
      <c r="A195" s="304"/>
    </row>
    <row r="196">
      <c r="A196" s="304"/>
    </row>
    <row r="197">
      <c r="A197" s="304"/>
    </row>
    <row r="198">
      <c r="A198" s="304"/>
    </row>
    <row r="199">
      <c r="A199" s="304"/>
    </row>
    <row r="200">
      <c r="A200" s="304"/>
    </row>
  </sheetData>
  <pageMargins bottom="1" footer="0.5" header="0.5" left="0.75" right="0.75" top="1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6"/>
  <cols>
    <col collapsed="false" customWidth="true" hidden="false" max="2" min="2" style="0" width="11"/>
    <col collapsed="false" customWidth="true" hidden="false" max="3" min="3" style="0" width="11"/>
    <col collapsed="false" customWidth="true" hidden="false" max="4" min="4" style="0" width="11"/>
    <col collapsed="false" customWidth="true" hidden="false" max="1" min="1" style="0" width="11"/>
  </cols>
  <sheetData>
    <row customHeight="true" ht="13" r="1">
      <c r="A1" s="329"/>
      <c r="B1" s="330"/>
      <c r="C1" s="330"/>
      <c r="D1" s="330"/>
      <c r="E1" s="329" t="s">
        <v>725</v>
      </c>
      <c r="F1" s="331" t="s">
        <v>726</v>
      </c>
      <c r="K1" s="329" t="s">
        <v>727</v>
      </c>
      <c r="L1" s="330" t="s">
        <v>728</v>
      </c>
      <c r="M1" s="330" t="s">
        <v>729</v>
      </c>
      <c r="N1" s="330" t="s">
        <v>730</v>
      </c>
      <c r="O1" s="330" t="s">
        <v>731</v>
      </c>
      <c r="P1" s="330" t="s">
        <v>732</v>
      </c>
      <c r="Q1" s="330" t="s">
        <v>733</v>
      </c>
      <c r="R1" s="330" t="s">
        <v>734</v>
      </c>
      <c r="S1" s="330" t="s">
        <v>735</v>
      </c>
      <c r="T1" s="330" t="s">
        <v>736</v>
      </c>
      <c r="U1" s="330" t="s">
        <v>737</v>
      </c>
      <c r="V1" s="330" t="s">
        <v>738</v>
      </c>
      <c r="W1" s="330" t="s">
        <v>739</v>
      </c>
      <c r="X1" s="330" t="s">
        <v>740</v>
      </c>
      <c r="Y1" s="330" t="s">
        <v>741</v>
      </c>
      <c r="Z1" s="330" t="s">
        <v>742</v>
      </c>
      <c r="AA1" s="330" t="s">
        <v>743</v>
      </c>
      <c r="AB1" s="330" t="s">
        <v>744</v>
      </c>
      <c r="AC1" s="330" t="s">
        <v>745</v>
      </c>
      <c r="AD1" s="330" t="s">
        <v>746</v>
      </c>
      <c r="AE1" s="330" t="s">
        <v>747</v>
      </c>
      <c r="AF1" s="330" t="s">
        <v>748</v>
      </c>
      <c r="AG1" s="330" t="s">
        <v>749</v>
      </c>
      <c r="AH1" s="330" t="s">
        <v>750</v>
      </c>
      <c r="AI1" s="330" t="s">
        <v>751</v>
      </c>
      <c r="AJ1" s="330" t="s">
        <v>752</v>
      </c>
      <c r="AK1" s="330" t="s">
        <v>753</v>
      </c>
      <c r="AL1" s="330" t="s">
        <v>754</v>
      </c>
      <c r="AM1" s="330" t="s">
        <v>755</v>
      </c>
      <c r="AN1" s="330" t="s">
        <v>756</v>
      </c>
      <c r="AO1" s="330" t="s">
        <v>757</v>
      </c>
      <c r="AP1" s="330" t="s">
        <v>758</v>
      </c>
      <c r="AQ1" s="330" t="s">
        <v>759</v>
      </c>
      <c r="AR1" s="330" t="s">
        <v>760</v>
      </c>
      <c r="AS1" s="330" t="s">
        <v>761</v>
      </c>
      <c r="AT1" s="330" t="s">
        <v>762</v>
      </c>
      <c r="AU1" s="330" t="s">
        <v>763</v>
      </c>
    </row>
    <row customHeight="true" ht="13" r="2">
      <c r="A2" s="329"/>
      <c r="B2" s="330"/>
      <c r="C2" s="330"/>
      <c r="D2" s="330"/>
      <c r="E2" s="332">
        <f t="shared" ref="E2:E8" si="2">(C2-B2)/B2</f>
      </c>
      <c r="F2" s="332">
        <f t="shared" ref="F2:F8" si="3">(D2-C2)/C2</f>
      </c>
      <c r="K2" s="329">
        <v>1</v>
      </c>
      <c r="L2" s="329">
        <f t="shared" ref="L2:L102" si="4">SUM(P2:U2)</f>
      </c>
      <c r="M2" s="329">
        <f t="shared" ref="M2:M102" si="0">SUM(AB2:AG2)</f>
      </c>
      <c r="N2" s="329">
        <f t="shared" ref="N2:N102" si="1">SUM(AN2:AR2)+AT2</f>
      </c>
      <c r="O2" s="330">
        <v>1</v>
      </c>
      <c r="P2" s="330">
        <v>112</v>
      </c>
      <c r="Q2" s="330">
        <v>89</v>
      </c>
      <c r="R2" s="330">
        <v>256</v>
      </c>
      <c r="S2" s="330">
        <v>1080</v>
      </c>
      <c r="T2" s="330">
        <v>1023</v>
      </c>
      <c r="U2" s="330">
        <v>1855</v>
      </c>
      <c r="V2" s="330">
        <v>1588</v>
      </c>
      <c r="W2" s="330">
        <v>660</v>
      </c>
      <c r="X2" s="330">
        <v>439</v>
      </c>
      <c r="Y2" s="330">
        <v>236</v>
      </c>
      <c r="Z2" s="330">
        <v>184</v>
      </c>
      <c r="AA2" s="330">
        <v>141</v>
      </c>
      <c r="AB2" s="330">
        <v>170</v>
      </c>
      <c r="AC2" s="330">
        <v>211</v>
      </c>
      <c r="AD2" s="330">
        <v>583</v>
      </c>
      <c r="AE2" s="330">
        <v>1677</v>
      </c>
      <c r="AF2" s="330">
        <v>2716</v>
      </c>
      <c r="AG2" s="330">
        <v>2071</v>
      </c>
      <c r="AH2" s="330">
        <v>1913</v>
      </c>
      <c r="AI2" s="330">
        <v>1618</v>
      </c>
      <c r="AJ2" s="330">
        <v>1618</v>
      </c>
      <c r="AK2" s="330">
        <v>450</v>
      </c>
      <c r="AL2" s="330">
        <v>632</v>
      </c>
      <c r="AM2" s="330">
        <v>317</v>
      </c>
      <c r="AN2" s="330">
        <v>235</v>
      </c>
      <c r="AO2" s="330">
        <v>259</v>
      </c>
      <c r="AP2" s="330">
        <v>554</v>
      </c>
      <c r="AQ2" s="330">
        <v>1540</v>
      </c>
      <c r="AR2" s="330">
        <v>2908</v>
      </c>
      <c r="AS2" s="330">
        <v>2174</v>
      </c>
      <c r="AT2" s="330">
        <v>1593</v>
      </c>
      <c r="AU2" s="330">
        <v>30902</v>
      </c>
    </row>
    <row customHeight="true" ht="13" r="3">
      <c r="A3" s="329"/>
      <c r="B3" s="330"/>
      <c r="C3" s="330"/>
      <c r="D3" s="330"/>
      <c r="E3" s="332">
        <f t="shared" si="2"/>
      </c>
      <c r="F3" s="332">
        <f t="shared" si="3"/>
      </c>
      <c r="K3" s="333" t="s">
        <v>764</v>
      </c>
      <c r="L3" s="329">
        <f t="shared" si="4"/>
      </c>
      <c r="M3" s="329">
        <f t="shared" si="0"/>
      </c>
      <c r="N3" s="329">
        <f t="shared" si="1"/>
      </c>
      <c r="O3" s="330">
        <v>2</v>
      </c>
      <c r="P3" s="330">
        <v>109</v>
      </c>
      <c r="Q3" s="330">
        <v>81</v>
      </c>
      <c r="R3" s="330">
        <v>152</v>
      </c>
      <c r="S3" s="330">
        <v>587</v>
      </c>
      <c r="T3" s="330">
        <v>862</v>
      </c>
      <c r="U3" s="330">
        <v>1130</v>
      </c>
      <c r="V3" s="330">
        <v>889</v>
      </c>
      <c r="W3" s="330">
        <v>459</v>
      </c>
      <c r="X3" s="330">
        <v>269</v>
      </c>
      <c r="Y3" s="330">
        <v>195</v>
      </c>
      <c r="Z3" s="330">
        <v>139</v>
      </c>
      <c r="AA3" s="330">
        <v>110</v>
      </c>
      <c r="AB3" s="330">
        <v>162</v>
      </c>
      <c r="AC3" s="330">
        <v>186</v>
      </c>
      <c r="AD3" s="330">
        <v>526</v>
      </c>
      <c r="AE3" s="330">
        <v>1351</v>
      </c>
      <c r="AF3" s="330">
        <v>1909</v>
      </c>
      <c r="AG3" s="330">
        <v>1727</v>
      </c>
      <c r="AH3" s="330">
        <v>1533</v>
      </c>
      <c r="AI3" s="330">
        <v>1118</v>
      </c>
      <c r="AJ3" s="330">
        <v>1118</v>
      </c>
      <c r="AK3" s="330">
        <v>443</v>
      </c>
      <c r="AL3" s="330">
        <v>377</v>
      </c>
      <c r="AM3" s="330">
        <v>305</v>
      </c>
      <c r="AN3" s="330">
        <v>205</v>
      </c>
      <c r="AO3" s="330">
        <v>214</v>
      </c>
      <c r="AP3" s="330">
        <v>501</v>
      </c>
      <c r="AQ3" s="330">
        <v>1281</v>
      </c>
      <c r="AR3" s="330">
        <v>2356</v>
      </c>
      <c r="AS3" s="330">
        <v>2141</v>
      </c>
      <c r="AT3" s="330">
        <v>1519</v>
      </c>
      <c r="AU3" s="330">
        <v>23954</v>
      </c>
    </row>
    <row customHeight="true" ht="13" r="4">
      <c r="A4" s="329"/>
      <c r="B4" s="330"/>
      <c r="C4" s="330"/>
      <c r="D4" s="330"/>
      <c r="E4" s="332">
        <f t="shared" si="2"/>
      </c>
      <c r="F4" s="332">
        <f t="shared" si="3"/>
      </c>
      <c r="K4" s="333" t="s">
        <v>764</v>
      </c>
      <c r="L4" s="329">
        <f t="shared" si="4"/>
      </c>
      <c r="M4" s="329">
        <f t="shared" si="0"/>
      </c>
      <c r="N4" s="329">
        <f t="shared" si="1"/>
      </c>
      <c r="O4" s="330">
        <v>3</v>
      </c>
      <c r="P4" s="330">
        <v>46</v>
      </c>
      <c r="Q4" s="330">
        <v>77</v>
      </c>
      <c r="R4" s="330">
        <v>146</v>
      </c>
      <c r="S4" s="330">
        <v>545</v>
      </c>
      <c r="T4" s="330">
        <v>729</v>
      </c>
      <c r="U4" s="330">
        <v>882</v>
      </c>
      <c r="V4" s="330">
        <v>708</v>
      </c>
      <c r="W4" s="330">
        <v>457</v>
      </c>
      <c r="X4" s="330">
        <v>239</v>
      </c>
      <c r="Y4" s="330">
        <v>193</v>
      </c>
      <c r="Z4" s="330">
        <v>129</v>
      </c>
      <c r="AA4" s="330">
        <v>93</v>
      </c>
      <c r="AB4" s="330">
        <v>140</v>
      </c>
      <c r="AC4" s="330">
        <v>181</v>
      </c>
      <c r="AD4" s="330">
        <v>431</v>
      </c>
      <c r="AE4" s="330">
        <v>1228</v>
      </c>
      <c r="AF4" s="330">
        <v>1443</v>
      </c>
      <c r="AG4" s="330">
        <v>1443</v>
      </c>
      <c r="AH4" s="330">
        <v>1528</v>
      </c>
      <c r="AI4" s="330">
        <v>1005</v>
      </c>
      <c r="AJ4" s="330">
        <v>1005</v>
      </c>
      <c r="AK4" s="330">
        <v>379</v>
      </c>
      <c r="AL4" s="330">
        <v>250</v>
      </c>
      <c r="AM4" s="330">
        <v>214</v>
      </c>
      <c r="AN4" s="330">
        <v>166</v>
      </c>
      <c r="AO4" s="330">
        <v>163</v>
      </c>
      <c r="AP4" s="330">
        <v>317</v>
      </c>
      <c r="AQ4" s="330">
        <v>973</v>
      </c>
      <c r="AR4" s="330">
        <v>2241</v>
      </c>
      <c r="AS4" s="330">
        <v>2140</v>
      </c>
      <c r="AT4" s="330">
        <v>1519</v>
      </c>
      <c r="AU4" s="330">
        <v>21010</v>
      </c>
    </row>
    <row customHeight="true" ht="13" r="5">
      <c r="A5" s="329"/>
      <c r="B5" s="330"/>
      <c r="C5" s="330"/>
      <c r="D5" s="330"/>
      <c r="E5" s="332">
        <f t="shared" si="2"/>
      </c>
      <c r="F5" s="332">
        <f t="shared" si="3"/>
      </c>
      <c r="K5" s="333" t="s">
        <v>764</v>
      </c>
      <c r="L5" s="329">
        <f t="shared" si="4"/>
      </c>
      <c r="M5" s="329">
        <f t="shared" si="0"/>
      </c>
      <c r="N5" s="329">
        <f t="shared" si="1"/>
      </c>
      <c r="O5" s="330">
        <v>4</v>
      </c>
      <c r="P5" s="330">
        <v>45</v>
      </c>
      <c r="Q5" s="330">
        <v>73</v>
      </c>
      <c r="R5" s="330">
        <v>128</v>
      </c>
      <c r="S5" s="330">
        <v>428</v>
      </c>
      <c r="T5" s="330">
        <v>700</v>
      </c>
      <c r="U5" s="330">
        <v>847</v>
      </c>
      <c r="V5" s="330">
        <v>699</v>
      </c>
      <c r="W5" s="330">
        <v>454</v>
      </c>
      <c r="X5" s="330">
        <v>224</v>
      </c>
      <c r="Y5" s="330">
        <v>150</v>
      </c>
      <c r="Z5" s="330">
        <v>127</v>
      </c>
      <c r="AA5" s="330">
        <v>82</v>
      </c>
      <c r="AB5" s="330">
        <v>135</v>
      </c>
      <c r="AC5" s="330">
        <v>149</v>
      </c>
      <c r="AD5" s="330">
        <v>400</v>
      </c>
      <c r="AE5" s="330">
        <v>1074</v>
      </c>
      <c r="AF5" s="330">
        <v>1307</v>
      </c>
      <c r="AG5" s="330">
        <v>1277</v>
      </c>
      <c r="AH5" s="330">
        <v>1266</v>
      </c>
      <c r="AI5" s="330">
        <v>978</v>
      </c>
      <c r="AJ5" s="330">
        <v>978</v>
      </c>
      <c r="AK5" s="330">
        <v>373</v>
      </c>
      <c r="AL5" s="330">
        <v>244</v>
      </c>
      <c r="AM5" s="330">
        <v>190</v>
      </c>
      <c r="AN5" s="330">
        <v>132</v>
      </c>
      <c r="AO5" s="330">
        <v>152</v>
      </c>
      <c r="AP5" s="330">
        <v>291</v>
      </c>
      <c r="AQ5" s="330">
        <v>696</v>
      </c>
      <c r="AR5" s="330">
        <v>1728</v>
      </c>
      <c r="AS5" s="330">
        <v>1598</v>
      </c>
      <c r="AT5" s="330">
        <v>1369</v>
      </c>
      <c r="AU5" s="330">
        <v>18294</v>
      </c>
    </row>
    <row customHeight="true" ht="13" r="6">
      <c r="A6" s="329"/>
      <c r="B6" s="330"/>
      <c r="C6" s="330"/>
      <c r="D6" s="330"/>
      <c r="E6" s="332">
        <f t="shared" si="2"/>
      </c>
      <c r="F6" s="332">
        <f t="shared" si="3"/>
      </c>
      <c r="K6" s="333" t="s">
        <v>764</v>
      </c>
      <c r="L6" s="329">
        <f t="shared" si="4"/>
      </c>
      <c r="M6" s="329">
        <f t="shared" si="0"/>
      </c>
      <c r="N6" s="329">
        <f t="shared" si="1"/>
      </c>
      <c r="O6" s="330">
        <v>5</v>
      </c>
      <c r="P6" s="330">
        <v>29</v>
      </c>
      <c r="Q6" s="330">
        <v>57</v>
      </c>
      <c r="R6" s="330">
        <v>85</v>
      </c>
      <c r="S6" s="330">
        <v>244</v>
      </c>
      <c r="T6" s="330">
        <v>669</v>
      </c>
      <c r="U6" s="330">
        <v>846</v>
      </c>
      <c r="V6" s="330">
        <v>658</v>
      </c>
      <c r="W6" s="330">
        <v>426</v>
      </c>
      <c r="X6" s="330">
        <v>217</v>
      </c>
      <c r="Y6" s="330">
        <v>146</v>
      </c>
      <c r="Z6" s="330">
        <v>104</v>
      </c>
      <c r="AA6" s="330">
        <v>78</v>
      </c>
      <c r="AB6" s="330">
        <v>87</v>
      </c>
      <c r="AC6" s="330">
        <v>133</v>
      </c>
      <c r="AD6" s="330">
        <v>379</v>
      </c>
      <c r="AE6" s="330">
        <v>934</v>
      </c>
      <c r="AF6" s="330">
        <v>1062</v>
      </c>
      <c r="AG6" s="330">
        <v>1202</v>
      </c>
      <c r="AH6" s="330">
        <v>1263</v>
      </c>
      <c r="AI6" s="330">
        <v>931</v>
      </c>
      <c r="AJ6" s="330">
        <v>931</v>
      </c>
      <c r="AK6" s="330">
        <v>364</v>
      </c>
      <c r="AL6" s="330">
        <v>237</v>
      </c>
      <c r="AM6" s="330">
        <v>168</v>
      </c>
      <c r="AN6" s="330">
        <v>124</v>
      </c>
      <c r="AO6" s="330">
        <v>146</v>
      </c>
      <c r="AP6" s="330">
        <v>287</v>
      </c>
      <c r="AQ6" s="330">
        <v>472</v>
      </c>
      <c r="AR6" s="330">
        <v>1467</v>
      </c>
      <c r="AS6" s="330">
        <v>1330</v>
      </c>
      <c r="AT6" s="330">
        <v>1360</v>
      </c>
      <c r="AU6" s="330">
        <v>16436</v>
      </c>
    </row>
    <row customHeight="true" ht="13" r="7">
      <c r="A7" s="329"/>
      <c r="B7" s="330"/>
      <c r="C7" s="330"/>
      <c r="D7" s="330"/>
      <c r="E7" s="332">
        <f t="shared" si="2"/>
      </c>
      <c r="F7" s="332">
        <f t="shared" si="3"/>
      </c>
      <c r="K7" s="334" t="s">
        <v>765</v>
      </c>
      <c r="L7" s="329">
        <f t="shared" si="4"/>
      </c>
      <c r="M7" s="329">
        <f t="shared" si="0"/>
      </c>
      <c r="N7" s="329">
        <f t="shared" si="1"/>
      </c>
      <c r="O7" s="330">
        <v>6</v>
      </c>
      <c r="P7" s="330">
        <v>8</v>
      </c>
      <c r="Q7" s="330">
        <v>56</v>
      </c>
      <c r="R7" s="330">
        <v>84</v>
      </c>
      <c r="S7" s="330">
        <v>209</v>
      </c>
      <c r="T7" s="330">
        <v>563</v>
      </c>
      <c r="U7" s="330">
        <v>729</v>
      </c>
      <c r="V7" s="330">
        <v>652</v>
      </c>
      <c r="W7" s="330">
        <v>409</v>
      </c>
      <c r="X7" s="330">
        <v>211</v>
      </c>
      <c r="Y7" s="330">
        <v>146</v>
      </c>
      <c r="Z7" s="330">
        <v>102</v>
      </c>
      <c r="AA7" s="330">
        <v>77</v>
      </c>
      <c r="AB7" s="330">
        <v>79</v>
      </c>
      <c r="AC7" s="330">
        <v>119</v>
      </c>
      <c r="AD7" s="330">
        <v>256</v>
      </c>
      <c r="AE7" s="330">
        <v>729</v>
      </c>
      <c r="AF7" s="330">
        <v>1059</v>
      </c>
      <c r="AG7" s="330">
        <v>933</v>
      </c>
      <c r="AH7" s="330">
        <v>1037</v>
      </c>
      <c r="AI7" s="330">
        <v>917</v>
      </c>
      <c r="AJ7" s="330">
        <v>917</v>
      </c>
      <c r="AK7" s="330">
        <v>327</v>
      </c>
      <c r="AL7" s="330">
        <v>215</v>
      </c>
      <c r="AM7" s="330">
        <v>149</v>
      </c>
      <c r="AN7" s="330">
        <v>109</v>
      </c>
      <c r="AO7" s="330">
        <v>138</v>
      </c>
      <c r="AP7" s="330">
        <v>271</v>
      </c>
      <c r="AQ7" s="330">
        <v>470</v>
      </c>
      <c r="AR7" s="330">
        <v>1432</v>
      </c>
      <c r="AS7" s="330">
        <v>1227</v>
      </c>
      <c r="AT7" s="330">
        <v>1178</v>
      </c>
      <c r="AU7" s="330">
        <v>14808</v>
      </c>
    </row>
    <row customHeight="true" ht="13" r="8">
      <c r="A8" s="329"/>
      <c r="B8" s="330"/>
      <c r="C8" s="330"/>
      <c r="D8" s="330"/>
      <c r="E8" s="332">
        <f t="shared" si="2"/>
      </c>
      <c r="F8" s="332">
        <f t="shared" si="3"/>
      </c>
      <c r="K8" s="334" t="s">
        <v>765</v>
      </c>
      <c r="L8" s="329">
        <f t="shared" si="4"/>
      </c>
      <c r="M8" s="329">
        <f t="shared" si="0"/>
      </c>
      <c r="N8" s="329">
        <f t="shared" si="1"/>
      </c>
      <c r="O8" s="330">
        <v>7</v>
      </c>
      <c r="P8" s="330">
        <v>6</v>
      </c>
      <c r="Q8" s="330">
        <v>48</v>
      </c>
      <c r="R8" s="330">
        <v>84</v>
      </c>
      <c r="S8" s="330">
        <v>197</v>
      </c>
      <c r="T8" s="330">
        <v>482</v>
      </c>
      <c r="U8" s="330">
        <v>604</v>
      </c>
      <c r="V8" s="330">
        <v>565</v>
      </c>
      <c r="W8" s="330">
        <v>397</v>
      </c>
      <c r="X8" s="330">
        <v>205</v>
      </c>
      <c r="Y8" s="330">
        <v>143</v>
      </c>
      <c r="Z8" s="330">
        <v>102</v>
      </c>
      <c r="AA8" s="330">
        <v>68</v>
      </c>
      <c r="AB8" s="330">
        <v>78</v>
      </c>
      <c r="AC8" s="330">
        <v>112</v>
      </c>
      <c r="AD8" s="330">
        <v>245</v>
      </c>
      <c r="AE8" s="330">
        <v>707</v>
      </c>
      <c r="AF8" s="330">
        <v>919</v>
      </c>
      <c r="AG8" s="330">
        <v>875</v>
      </c>
      <c r="AH8" s="330">
        <v>1037</v>
      </c>
      <c r="AI8" s="330">
        <v>792</v>
      </c>
      <c r="AJ8" s="330">
        <v>792</v>
      </c>
      <c r="AK8" s="330">
        <v>294</v>
      </c>
      <c r="AL8" s="330">
        <v>204</v>
      </c>
      <c r="AM8" s="330">
        <v>133</v>
      </c>
      <c r="AN8" s="330">
        <v>92</v>
      </c>
      <c r="AO8" s="330">
        <v>132</v>
      </c>
      <c r="AP8" s="330">
        <v>266</v>
      </c>
      <c r="AQ8" s="330">
        <v>464</v>
      </c>
      <c r="AR8" s="330">
        <v>1430</v>
      </c>
      <c r="AS8" s="330">
        <v>1174</v>
      </c>
      <c r="AT8" s="330">
        <v>887</v>
      </c>
      <c r="AU8" s="330">
        <v>13534</v>
      </c>
    </row>
    <row customHeight="true" ht="13" r="9">
      <c r="A9" s="329"/>
      <c r="B9" s="330"/>
      <c r="C9" s="330"/>
      <c r="D9" s="330"/>
      <c r="E9" s="332"/>
      <c r="F9" s="332"/>
      <c r="K9" s="334" t="s">
        <v>765</v>
      </c>
      <c r="L9" s="329">
        <f t="shared" si="4"/>
      </c>
      <c r="M9" s="329">
        <f t="shared" si="0"/>
      </c>
      <c r="N9" s="329">
        <f t="shared" si="1"/>
      </c>
      <c r="O9" s="330">
        <v>8</v>
      </c>
      <c r="P9" s="330">
        <v>5</v>
      </c>
      <c r="Q9" s="330">
        <v>35</v>
      </c>
      <c r="R9" s="330">
        <v>73</v>
      </c>
      <c r="S9" s="330">
        <v>193</v>
      </c>
      <c r="T9" s="330">
        <v>419</v>
      </c>
      <c r="U9" s="330">
        <v>556</v>
      </c>
      <c r="V9" s="330">
        <v>555</v>
      </c>
      <c r="W9" s="330">
        <v>394</v>
      </c>
      <c r="X9" s="330">
        <v>201</v>
      </c>
      <c r="Y9" s="330">
        <v>136</v>
      </c>
      <c r="Z9" s="330">
        <v>101</v>
      </c>
      <c r="AA9" s="330">
        <v>64</v>
      </c>
      <c r="AB9" s="330">
        <v>55</v>
      </c>
      <c r="AC9" s="330">
        <v>108</v>
      </c>
      <c r="AD9" s="330">
        <v>222</v>
      </c>
      <c r="AE9" s="330">
        <v>554</v>
      </c>
      <c r="AF9" s="330">
        <v>870</v>
      </c>
      <c r="AG9" s="330">
        <v>874</v>
      </c>
      <c r="AH9" s="330">
        <v>863</v>
      </c>
      <c r="AI9" s="330">
        <v>663</v>
      </c>
      <c r="AJ9" s="330">
        <v>663</v>
      </c>
      <c r="AK9" s="330">
        <v>293</v>
      </c>
      <c r="AL9" s="330">
        <v>176</v>
      </c>
      <c r="AM9" s="330">
        <v>131</v>
      </c>
      <c r="AN9" s="330">
        <v>89</v>
      </c>
      <c r="AO9" s="330">
        <v>128</v>
      </c>
      <c r="AP9" s="330">
        <v>254</v>
      </c>
      <c r="AQ9" s="330">
        <v>450</v>
      </c>
      <c r="AR9" s="330">
        <v>1306</v>
      </c>
      <c r="AS9" s="330">
        <v>1092</v>
      </c>
      <c r="AT9" s="330">
        <v>717</v>
      </c>
      <c r="AU9" s="330">
        <v>12240</v>
      </c>
    </row>
    <row customHeight="true" ht="13" r="10">
      <c r="A10" s="329"/>
      <c r="K10" s="334" t="s">
        <v>765</v>
      </c>
      <c r="L10" s="329">
        <f t="shared" si="4"/>
      </c>
      <c r="M10" s="329">
        <f t="shared" si="0"/>
      </c>
      <c r="N10" s="329">
        <f t="shared" si="1"/>
      </c>
      <c r="O10" s="330">
        <v>9</v>
      </c>
      <c r="P10" s="330">
        <v>5</v>
      </c>
      <c r="Q10" s="330">
        <v>26</v>
      </c>
      <c r="R10" s="330">
        <v>71</v>
      </c>
      <c r="S10" s="330">
        <v>190</v>
      </c>
      <c r="T10" s="330">
        <v>417</v>
      </c>
      <c r="U10" s="330">
        <v>539</v>
      </c>
      <c r="V10" s="330">
        <v>420</v>
      </c>
      <c r="W10" s="330">
        <v>356</v>
      </c>
      <c r="X10" s="330">
        <v>198</v>
      </c>
      <c r="Y10" s="330">
        <v>132</v>
      </c>
      <c r="Z10" s="330">
        <v>101</v>
      </c>
      <c r="AA10" s="330">
        <v>59</v>
      </c>
      <c r="AB10" s="330">
        <v>55</v>
      </c>
      <c r="AC10" s="330">
        <v>99</v>
      </c>
      <c r="AD10" s="330">
        <v>212</v>
      </c>
      <c r="AE10" s="330">
        <v>505</v>
      </c>
      <c r="AF10" s="330">
        <v>801</v>
      </c>
      <c r="AG10" s="330">
        <v>815</v>
      </c>
      <c r="AH10" s="330">
        <v>832</v>
      </c>
      <c r="AI10" s="330">
        <v>581</v>
      </c>
      <c r="AJ10" s="330">
        <v>581</v>
      </c>
      <c r="AK10" s="330">
        <v>278</v>
      </c>
      <c r="AL10" s="330">
        <v>161</v>
      </c>
      <c r="AM10" s="330">
        <v>130</v>
      </c>
      <c r="AN10" s="330">
        <v>85</v>
      </c>
      <c r="AO10" s="330">
        <v>126</v>
      </c>
      <c r="AP10" s="330">
        <v>239</v>
      </c>
      <c r="AQ10" s="330">
        <v>444</v>
      </c>
      <c r="AR10" s="330">
        <v>1210</v>
      </c>
      <c r="AS10" s="330">
        <v>993</v>
      </c>
      <c r="AT10" s="330">
        <v>683</v>
      </c>
      <c r="AU10" s="330">
        <v>11344</v>
      </c>
    </row>
    <row customHeight="true" ht="13" r="11">
      <c r="A11" s="329"/>
      <c r="K11" s="334" t="s">
        <v>765</v>
      </c>
      <c r="L11" s="329">
        <f t="shared" si="4"/>
      </c>
      <c r="M11" s="329">
        <f t="shared" si="0"/>
      </c>
      <c r="N11" s="329">
        <f t="shared" si="1"/>
      </c>
      <c r="O11" s="330">
        <v>10</v>
      </c>
      <c r="P11" s="330">
        <v>4</v>
      </c>
      <c r="Q11" s="330">
        <v>25</v>
      </c>
      <c r="R11" s="330">
        <v>55</v>
      </c>
      <c r="S11" s="330">
        <v>183</v>
      </c>
      <c r="T11" s="330">
        <v>387</v>
      </c>
      <c r="U11" s="330">
        <v>510</v>
      </c>
      <c r="V11" s="330">
        <v>394</v>
      </c>
      <c r="W11" s="330">
        <v>341</v>
      </c>
      <c r="X11" s="330">
        <v>185</v>
      </c>
      <c r="Y11" s="330">
        <v>128</v>
      </c>
      <c r="Z11" s="330">
        <v>84</v>
      </c>
      <c r="AA11" s="330">
        <v>58</v>
      </c>
      <c r="AB11" s="330">
        <v>51</v>
      </c>
      <c r="AC11" s="330">
        <v>98</v>
      </c>
      <c r="AD11" s="330">
        <v>206</v>
      </c>
      <c r="AE11" s="330">
        <v>492</v>
      </c>
      <c r="AF11" s="330">
        <v>795</v>
      </c>
      <c r="AG11" s="330">
        <v>785</v>
      </c>
      <c r="AH11" s="330">
        <v>758</v>
      </c>
      <c r="AI11" s="330">
        <v>539</v>
      </c>
      <c r="AJ11" s="330">
        <v>539</v>
      </c>
      <c r="AK11" s="330">
        <v>272</v>
      </c>
      <c r="AL11" s="330">
        <v>146</v>
      </c>
      <c r="AM11" s="330">
        <v>118</v>
      </c>
      <c r="AN11" s="330">
        <v>79</v>
      </c>
      <c r="AO11" s="330">
        <v>121</v>
      </c>
      <c r="AP11" s="330">
        <v>239</v>
      </c>
      <c r="AQ11" s="330">
        <v>428</v>
      </c>
      <c r="AR11" s="330">
        <v>1192</v>
      </c>
      <c r="AS11" s="330">
        <v>983</v>
      </c>
      <c r="AT11" s="330">
        <v>653</v>
      </c>
      <c r="AU11" s="330">
        <v>10848</v>
      </c>
    </row>
    <row customHeight="true" ht="13" r="12">
      <c r="A12" s="329"/>
      <c r="K12" s="334" t="s">
        <v>766</v>
      </c>
      <c r="L12" s="329">
        <f t="shared" si="4"/>
      </c>
      <c r="M12" s="329">
        <f t="shared" si="0"/>
      </c>
      <c r="N12" s="329">
        <f t="shared" si="1"/>
      </c>
      <c r="O12" s="330">
        <v>11</v>
      </c>
      <c r="P12" s="330">
        <v>4</v>
      </c>
      <c r="Q12" s="330">
        <v>17</v>
      </c>
      <c r="R12" s="330">
        <v>54</v>
      </c>
      <c r="S12" s="330">
        <v>178</v>
      </c>
      <c r="T12" s="330">
        <v>361</v>
      </c>
      <c r="U12" s="330">
        <v>459</v>
      </c>
      <c r="V12" s="330">
        <v>388</v>
      </c>
      <c r="W12" s="330">
        <v>317</v>
      </c>
      <c r="X12" s="330">
        <v>177</v>
      </c>
      <c r="Y12" s="330">
        <v>125</v>
      </c>
      <c r="Z12" s="330">
        <v>73</v>
      </c>
      <c r="AA12" s="330">
        <v>55</v>
      </c>
      <c r="AB12" s="330">
        <v>48</v>
      </c>
      <c r="AC12" s="330">
        <v>69</v>
      </c>
      <c r="AD12" s="330">
        <v>184</v>
      </c>
      <c r="AE12" s="330">
        <v>482</v>
      </c>
      <c r="AF12" s="330">
        <v>790</v>
      </c>
      <c r="AG12" s="330">
        <v>738</v>
      </c>
      <c r="AH12" s="330">
        <v>673</v>
      </c>
      <c r="AI12" s="330">
        <v>505</v>
      </c>
      <c r="AJ12" s="330">
        <v>505</v>
      </c>
      <c r="AK12" s="330">
        <v>264</v>
      </c>
      <c r="AL12" s="330">
        <v>145</v>
      </c>
      <c r="AM12" s="330">
        <v>112</v>
      </c>
      <c r="AN12" s="330">
        <v>75</v>
      </c>
      <c r="AO12" s="330">
        <v>115</v>
      </c>
      <c r="AP12" s="330">
        <v>214</v>
      </c>
      <c r="AQ12" s="330">
        <v>417</v>
      </c>
      <c r="AR12" s="330">
        <v>1110</v>
      </c>
      <c r="AS12" s="330">
        <v>983</v>
      </c>
      <c r="AT12" s="330">
        <v>648</v>
      </c>
      <c r="AU12" s="330">
        <v>10285</v>
      </c>
    </row>
    <row customHeight="true" ht="13" r="13">
      <c r="A13" s="329"/>
      <c r="K13" s="334" t="s">
        <v>766</v>
      </c>
      <c r="L13" s="329">
        <f t="shared" si="4"/>
      </c>
      <c r="M13" s="329">
        <f t="shared" si="0"/>
      </c>
      <c r="N13" s="329">
        <f t="shared" si="1"/>
      </c>
      <c r="O13" s="330">
        <v>12</v>
      </c>
      <c r="P13" s="330">
        <v>2</v>
      </c>
      <c r="Q13" s="330">
        <v>16</v>
      </c>
      <c r="R13" s="330">
        <v>52</v>
      </c>
      <c r="S13" s="330">
        <v>170</v>
      </c>
      <c r="T13" s="330">
        <v>355</v>
      </c>
      <c r="U13" s="330">
        <v>433</v>
      </c>
      <c r="V13" s="330">
        <v>372</v>
      </c>
      <c r="W13" s="330">
        <v>252</v>
      </c>
      <c r="X13" s="330">
        <v>167</v>
      </c>
      <c r="Y13" s="330">
        <v>113</v>
      </c>
      <c r="Z13" s="330">
        <v>69</v>
      </c>
      <c r="AA13" s="330">
        <v>53</v>
      </c>
      <c r="AB13" s="330">
        <v>47</v>
      </c>
      <c r="AC13" s="330">
        <v>66</v>
      </c>
      <c r="AD13" s="330">
        <v>179</v>
      </c>
      <c r="AE13" s="330">
        <v>414</v>
      </c>
      <c r="AF13" s="330">
        <v>786</v>
      </c>
      <c r="AG13" s="330">
        <v>665</v>
      </c>
      <c r="AH13" s="330">
        <v>644</v>
      </c>
      <c r="AI13" s="330">
        <v>496</v>
      </c>
      <c r="AJ13" s="330">
        <v>496</v>
      </c>
      <c r="AK13" s="330">
        <v>207</v>
      </c>
      <c r="AL13" s="330">
        <v>143</v>
      </c>
      <c r="AM13" s="330">
        <v>101</v>
      </c>
      <c r="AN13" s="330">
        <v>71</v>
      </c>
      <c r="AO13" s="330">
        <v>108</v>
      </c>
      <c r="AP13" s="330">
        <v>195</v>
      </c>
      <c r="AQ13" s="330">
        <v>392</v>
      </c>
      <c r="AR13" s="330">
        <v>1063</v>
      </c>
      <c r="AS13" s="330">
        <v>915</v>
      </c>
      <c r="AT13" s="330">
        <v>627</v>
      </c>
      <c r="AU13" s="330">
        <v>9669</v>
      </c>
    </row>
    <row customHeight="true" ht="13" r="14">
      <c r="A14" s="329"/>
      <c r="K14" s="334" t="s">
        <v>766</v>
      </c>
      <c r="L14" s="329">
        <f t="shared" si="4"/>
      </c>
      <c r="M14" s="329">
        <f t="shared" si="0"/>
      </c>
      <c r="N14" s="329">
        <f t="shared" si="1"/>
      </c>
      <c r="O14" s="330">
        <v>13</v>
      </c>
      <c r="P14" s="330">
        <v>2</v>
      </c>
      <c r="Q14" s="330">
        <v>12</v>
      </c>
      <c r="R14" s="330">
        <v>47</v>
      </c>
      <c r="S14" s="330">
        <v>169</v>
      </c>
      <c r="T14" s="330">
        <v>341</v>
      </c>
      <c r="U14" s="330">
        <v>401</v>
      </c>
      <c r="V14" s="330">
        <v>351</v>
      </c>
      <c r="W14" s="330">
        <v>237</v>
      </c>
      <c r="X14" s="330">
        <v>162</v>
      </c>
      <c r="Y14" s="330">
        <v>109</v>
      </c>
      <c r="Z14" s="330">
        <v>68</v>
      </c>
      <c r="AA14" s="330">
        <v>52</v>
      </c>
      <c r="AB14" s="330">
        <v>45</v>
      </c>
      <c r="AC14" s="330">
        <v>66</v>
      </c>
      <c r="AD14" s="330">
        <v>179</v>
      </c>
      <c r="AE14" s="330">
        <v>401</v>
      </c>
      <c r="AF14" s="330">
        <v>734</v>
      </c>
      <c r="AG14" s="330">
        <v>623</v>
      </c>
      <c r="AH14" s="330">
        <v>641</v>
      </c>
      <c r="AI14" s="330">
        <v>470</v>
      </c>
      <c r="AJ14" s="330">
        <v>470</v>
      </c>
      <c r="AK14" s="330">
        <v>205</v>
      </c>
      <c r="AL14" s="330">
        <v>121</v>
      </c>
      <c r="AM14" s="330">
        <v>98</v>
      </c>
      <c r="AN14" s="330">
        <v>68</v>
      </c>
      <c r="AO14" s="330">
        <v>104</v>
      </c>
      <c r="AP14" s="330">
        <v>185</v>
      </c>
      <c r="AQ14" s="330">
        <v>390</v>
      </c>
      <c r="AR14" s="330">
        <v>1031</v>
      </c>
      <c r="AS14" s="330">
        <v>912</v>
      </c>
      <c r="AT14" s="330">
        <v>617</v>
      </c>
      <c r="AU14" s="330">
        <v>9311</v>
      </c>
    </row>
    <row customHeight="true" ht="13" r="15">
      <c r="A15" s="329"/>
      <c r="K15" s="334" t="s">
        <v>766</v>
      </c>
      <c r="L15" s="329">
        <f t="shared" si="4"/>
      </c>
      <c r="M15" s="329">
        <f t="shared" si="0"/>
      </c>
      <c r="N15" s="329">
        <f t="shared" si="1"/>
      </c>
      <c r="O15" s="330">
        <v>14</v>
      </c>
      <c r="P15" s="330">
        <v>1</v>
      </c>
      <c r="Q15" s="330">
        <v>11</v>
      </c>
      <c r="R15" s="330">
        <v>44</v>
      </c>
      <c r="S15" s="330">
        <v>166</v>
      </c>
      <c r="T15" s="330">
        <v>328</v>
      </c>
      <c r="U15" s="330">
        <v>390</v>
      </c>
      <c r="V15" s="330">
        <v>335</v>
      </c>
      <c r="W15" s="330">
        <v>214</v>
      </c>
      <c r="X15" s="330">
        <v>153</v>
      </c>
      <c r="Y15" s="330">
        <v>98</v>
      </c>
      <c r="Z15" s="330">
        <v>67</v>
      </c>
      <c r="AA15" s="330">
        <v>49</v>
      </c>
      <c r="AB15" s="330">
        <v>43</v>
      </c>
      <c r="AC15" s="330">
        <v>64</v>
      </c>
      <c r="AD15" s="330">
        <v>174</v>
      </c>
      <c r="AE15" s="330">
        <v>341</v>
      </c>
      <c r="AF15" s="330">
        <v>731</v>
      </c>
      <c r="AG15" s="330">
        <v>620</v>
      </c>
      <c r="AH15" s="330">
        <v>613</v>
      </c>
      <c r="AI15" s="330">
        <v>430</v>
      </c>
      <c r="AJ15" s="330">
        <v>430</v>
      </c>
      <c r="AK15" s="330">
        <v>164</v>
      </c>
      <c r="AL15" s="330">
        <v>117</v>
      </c>
      <c r="AM15" s="330">
        <v>96</v>
      </c>
      <c r="AN15" s="330">
        <v>68</v>
      </c>
      <c r="AO15" s="330">
        <v>88</v>
      </c>
      <c r="AP15" s="330">
        <v>173</v>
      </c>
      <c r="AQ15" s="330">
        <v>389</v>
      </c>
      <c r="AR15" s="330">
        <v>1007</v>
      </c>
      <c r="AS15" s="330">
        <v>872</v>
      </c>
      <c r="AT15" s="330">
        <v>603</v>
      </c>
      <c r="AU15" s="330">
        <v>8879</v>
      </c>
    </row>
    <row customHeight="true" ht="13" r="16">
      <c r="A16" s="329"/>
      <c r="K16" s="334" t="s">
        <v>766</v>
      </c>
      <c r="L16" s="329">
        <f t="shared" si="4"/>
      </c>
      <c r="M16" s="329">
        <f t="shared" si="0"/>
      </c>
      <c r="N16" s="329">
        <f t="shared" si="1"/>
      </c>
      <c r="O16" s="330">
        <v>15</v>
      </c>
      <c r="P16" s="330">
        <v>1</v>
      </c>
      <c r="Q16" s="330">
        <v>11</v>
      </c>
      <c r="R16" s="330">
        <v>41</v>
      </c>
      <c r="S16" s="330">
        <v>158</v>
      </c>
      <c r="T16" s="330">
        <v>318</v>
      </c>
      <c r="U16" s="330">
        <v>363</v>
      </c>
      <c r="V16" s="330">
        <v>307</v>
      </c>
      <c r="W16" s="330">
        <v>207</v>
      </c>
      <c r="X16" s="330">
        <v>137</v>
      </c>
      <c r="Y16" s="330">
        <v>87</v>
      </c>
      <c r="Z16" s="330">
        <v>64</v>
      </c>
      <c r="AA16" s="330">
        <v>43</v>
      </c>
      <c r="AB16" s="330">
        <v>43</v>
      </c>
      <c r="AC16" s="330">
        <v>62</v>
      </c>
      <c r="AD16" s="330">
        <v>150</v>
      </c>
      <c r="AE16" s="330">
        <v>340</v>
      </c>
      <c r="AF16" s="330">
        <v>718</v>
      </c>
      <c r="AG16" s="330">
        <v>601</v>
      </c>
      <c r="AH16" s="330">
        <v>603</v>
      </c>
      <c r="AI16" s="330">
        <v>414</v>
      </c>
      <c r="AJ16" s="330">
        <v>414</v>
      </c>
      <c r="AK16" s="330">
        <v>162</v>
      </c>
      <c r="AL16" s="330">
        <v>117</v>
      </c>
      <c r="AM16" s="330">
        <v>88</v>
      </c>
      <c r="AN16" s="330">
        <v>68</v>
      </c>
      <c r="AO16" s="330">
        <v>82</v>
      </c>
      <c r="AP16" s="330">
        <v>165</v>
      </c>
      <c r="AQ16" s="330">
        <v>367</v>
      </c>
      <c r="AR16" s="330">
        <v>989</v>
      </c>
      <c r="AS16" s="330">
        <v>822</v>
      </c>
      <c r="AT16" s="330">
        <v>571</v>
      </c>
      <c r="AU16" s="330">
        <v>8513</v>
      </c>
    </row>
    <row customHeight="true" ht="13" r="17">
      <c r="A17" s="329"/>
      <c r="K17" s="335" t="s">
        <v>767</v>
      </c>
      <c r="L17" s="329">
        <f t="shared" si="4"/>
      </c>
      <c r="M17" s="329">
        <f t="shared" si="0"/>
      </c>
      <c r="N17" s="329">
        <f t="shared" si="1"/>
      </c>
      <c r="O17" s="330">
        <v>16</v>
      </c>
      <c r="P17" s="330">
        <v>1</v>
      </c>
      <c r="Q17" s="330">
        <v>9</v>
      </c>
      <c r="R17" s="330">
        <v>35</v>
      </c>
      <c r="S17" s="330">
        <v>155</v>
      </c>
      <c r="T17" s="330">
        <v>289</v>
      </c>
      <c r="U17" s="330">
        <v>290</v>
      </c>
      <c r="V17" s="330">
        <v>278</v>
      </c>
      <c r="W17" s="330">
        <v>189</v>
      </c>
      <c r="X17" s="330">
        <v>136</v>
      </c>
      <c r="Y17" s="330">
        <v>84</v>
      </c>
      <c r="Z17" s="330">
        <v>58</v>
      </c>
      <c r="AA17" s="330">
        <v>38</v>
      </c>
      <c r="AB17" s="330">
        <v>42</v>
      </c>
      <c r="AC17" s="330">
        <v>57</v>
      </c>
      <c r="AD17" s="330">
        <v>149</v>
      </c>
      <c r="AE17" s="330">
        <v>334</v>
      </c>
      <c r="AF17" s="330">
        <v>690</v>
      </c>
      <c r="AG17" s="330">
        <v>596</v>
      </c>
      <c r="AH17" s="330">
        <v>556</v>
      </c>
      <c r="AI17" s="330">
        <v>411</v>
      </c>
      <c r="AJ17" s="330">
        <v>411</v>
      </c>
      <c r="AK17" s="330">
        <v>159</v>
      </c>
      <c r="AL17" s="330">
        <v>114</v>
      </c>
      <c r="AM17" s="330">
        <v>76</v>
      </c>
      <c r="AN17" s="330">
        <v>67</v>
      </c>
      <c r="AO17" s="330">
        <v>82</v>
      </c>
      <c r="AP17" s="330">
        <v>153</v>
      </c>
      <c r="AQ17" s="330">
        <v>361</v>
      </c>
      <c r="AR17" s="330">
        <v>880</v>
      </c>
      <c r="AS17" s="330">
        <v>745</v>
      </c>
      <c r="AT17" s="330">
        <v>485</v>
      </c>
      <c r="AU17" s="330">
        <v>7930</v>
      </c>
    </row>
    <row customHeight="true" ht="13" r="18">
      <c r="A18" s="329"/>
      <c r="K18" s="335" t="s">
        <v>767</v>
      </c>
      <c r="L18" s="329">
        <f t="shared" si="4"/>
      </c>
      <c r="M18" s="329">
        <f t="shared" si="0"/>
      </c>
      <c r="N18" s="329">
        <f t="shared" si="1"/>
      </c>
      <c r="O18" s="330">
        <v>17</v>
      </c>
      <c r="P18" s="330">
        <v>1</v>
      </c>
      <c r="Q18" s="330">
        <v>7</v>
      </c>
      <c r="R18" s="330">
        <v>34</v>
      </c>
      <c r="S18" s="330">
        <v>153</v>
      </c>
      <c r="T18" s="330">
        <v>286</v>
      </c>
      <c r="U18" s="330">
        <v>270</v>
      </c>
      <c r="V18" s="330">
        <v>267</v>
      </c>
      <c r="W18" s="330">
        <v>182</v>
      </c>
      <c r="X18" s="330">
        <v>106</v>
      </c>
      <c r="Y18" s="330">
        <v>81</v>
      </c>
      <c r="Z18" s="330">
        <v>55</v>
      </c>
      <c r="AA18" s="330">
        <v>37</v>
      </c>
      <c r="AB18" s="330">
        <v>40</v>
      </c>
      <c r="AC18" s="330">
        <v>57</v>
      </c>
      <c r="AD18" s="330">
        <v>137</v>
      </c>
      <c r="AE18" s="330">
        <v>330</v>
      </c>
      <c r="AF18" s="330">
        <v>684</v>
      </c>
      <c r="AG18" s="330">
        <v>565</v>
      </c>
      <c r="AH18" s="330">
        <v>552</v>
      </c>
      <c r="AI18" s="330">
        <v>392</v>
      </c>
      <c r="AJ18" s="330">
        <v>392</v>
      </c>
      <c r="AK18" s="330">
        <v>158</v>
      </c>
      <c r="AL18" s="330">
        <v>112</v>
      </c>
      <c r="AM18" s="330">
        <v>72</v>
      </c>
      <c r="AN18" s="330">
        <v>65</v>
      </c>
      <c r="AO18" s="330">
        <v>82</v>
      </c>
      <c r="AP18" s="330">
        <v>152</v>
      </c>
      <c r="AQ18" s="330">
        <v>343</v>
      </c>
      <c r="AR18" s="330">
        <v>801</v>
      </c>
      <c r="AS18" s="330">
        <v>714</v>
      </c>
      <c r="AT18" s="330">
        <v>443</v>
      </c>
      <c r="AU18" s="330">
        <v>7570</v>
      </c>
    </row>
    <row customHeight="true" ht="13" r="19">
      <c r="A19" s="329"/>
      <c r="K19" s="335" t="s">
        <v>767</v>
      </c>
      <c r="L19" s="329">
        <f t="shared" si="4"/>
      </c>
      <c r="M19" s="329">
        <f t="shared" si="0"/>
      </c>
      <c r="N19" s="329">
        <f t="shared" si="1"/>
      </c>
      <c r="O19" s="330">
        <v>18</v>
      </c>
      <c r="P19" s="330">
        <v>1</v>
      </c>
      <c r="Q19" s="330">
        <v>7</v>
      </c>
      <c r="R19" s="330">
        <v>29</v>
      </c>
      <c r="S19" s="330">
        <v>150</v>
      </c>
      <c r="T19" s="330">
        <v>278</v>
      </c>
      <c r="U19" s="330">
        <v>259</v>
      </c>
      <c r="V19" s="330">
        <v>265</v>
      </c>
      <c r="W19" s="330">
        <v>177</v>
      </c>
      <c r="X19" s="330">
        <v>101</v>
      </c>
      <c r="Y19" s="330">
        <v>79</v>
      </c>
      <c r="Z19" s="330">
        <v>53</v>
      </c>
      <c r="AA19" s="330">
        <v>37</v>
      </c>
      <c r="AB19" s="330">
        <v>40</v>
      </c>
      <c r="AC19" s="330">
        <v>55</v>
      </c>
      <c r="AD19" s="330">
        <v>134</v>
      </c>
      <c r="AE19" s="330">
        <v>319</v>
      </c>
      <c r="AF19" s="330">
        <v>590</v>
      </c>
      <c r="AG19" s="330">
        <v>516</v>
      </c>
      <c r="AH19" s="330">
        <v>548</v>
      </c>
      <c r="AI19" s="330">
        <v>390</v>
      </c>
      <c r="AJ19" s="330">
        <v>390</v>
      </c>
      <c r="AK19" s="330">
        <v>153</v>
      </c>
      <c r="AL19" s="330">
        <v>112</v>
      </c>
      <c r="AM19" s="330">
        <v>65</v>
      </c>
      <c r="AN19" s="330">
        <v>64</v>
      </c>
      <c r="AO19" s="330">
        <v>78</v>
      </c>
      <c r="AP19" s="330">
        <v>148</v>
      </c>
      <c r="AQ19" s="330">
        <v>341</v>
      </c>
      <c r="AR19" s="330">
        <v>781</v>
      </c>
      <c r="AS19" s="330">
        <v>693</v>
      </c>
      <c r="AT19" s="330">
        <v>413</v>
      </c>
      <c r="AU19" s="330">
        <v>7266</v>
      </c>
    </row>
    <row customHeight="true" ht="13" r="20">
      <c r="A20" s="329"/>
      <c r="K20" s="335" t="s">
        <v>767</v>
      </c>
      <c r="L20" s="329">
        <f t="shared" si="4"/>
      </c>
      <c r="M20" s="329">
        <f t="shared" si="0"/>
      </c>
      <c r="N20" s="329">
        <f t="shared" si="1"/>
      </c>
      <c r="O20" s="330">
        <v>19</v>
      </c>
      <c r="P20" s="330">
        <v>1</v>
      </c>
      <c r="Q20" s="330">
        <v>6</v>
      </c>
      <c r="R20" s="330">
        <v>27</v>
      </c>
      <c r="S20" s="330">
        <v>148</v>
      </c>
      <c r="T20" s="330">
        <v>263</v>
      </c>
      <c r="U20" s="330">
        <v>243</v>
      </c>
      <c r="V20" s="330">
        <v>245</v>
      </c>
      <c r="W20" s="330">
        <v>170</v>
      </c>
      <c r="X20" s="330">
        <v>101</v>
      </c>
      <c r="Y20" s="330">
        <v>76</v>
      </c>
      <c r="Z20" s="330">
        <v>52</v>
      </c>
      <c r="AA20" s="330">
        <v>32</v>
      </c>
      <c r="AB20" s="330">
        <v>38</v>
      </c>
      <c r="AC20" s="330">
        <v>54</v>
      </c>
      <c r="AD20" s="330">
        <v>130</v>
      </c>
      <c r="AE20" s="330">
        <v>292</v>
      </c>
      <c r="AF20" s="330">
        <v>550</v>
      </c>
      <c r="AG20" s="330">
        <v>509</v>
      </c>
      <c r="AH20" s="330">
        <v>506</v>
      </c>
      <c r="AI20" s="330">
        <v>361</v>
      </c>
      <c r="AJ20" s="330">
        <v>361</v>
      </c>
      <c r="AK20" s="330">
        <v>136</v>
      </c>
      <c r="AL20" s="330">
        <v>107</v>
      </c>
      <c r="AM20" s="330">
        <v>64</v>
      </c>
      <c r="AN20" s="330">
        <v>63</v>
      </c>
      <c r="AO20" s="330">
        <v>76</v>
      </c>
      <c r="AP20" s="330">
        <v>136</v>
      </c>
      <c r="AQ20" s="330">
        <v>338</v>
      </c>
      <c r="AR20" s="330">
        <v>762</v>
      </c>
      <c r="AS20" s="330">
        <v>686</v>
      </c>
      <c r="AT20" s="330">
        <v>404</v>
      </c>
      <c r="AU20" s="330">
        <v>6937</v>
      </c>
    </row>
    <row customHeight="true" ht="13" r="21">
      <c r="A21" s="329"/>
      <c r="K21" s="335" t="s">
        <v>767</v>
      </c>
      <c r="L21" s="329">
        <f t="shared" si="4"/>
      </c>
      <c r="M21" s="329">
        <f t="shared" si="0"/>
      </c>
      <c r="N21" s="329">
        <f t="shared" si="1"/>
      </c>
      <c r="O21" s="330">
        <v>20</v>
      </c>
      <c r="P21" s="330">
        <v>0</v>
      </c>
      <c r="Q21" s="330">
        <v>5</v>
      </c>
      <c r="R21" s="330">
        <v>26</v>
      </c>
      <c r="S21" s="330">
        <v>142</v>
      </c>
      <c r="T21" s="330">
        <v>227</v>
      </c>
      <c r="U21" s="330">
        <v>232</v>
      </c>
      <c r="V21" s="330">
        <v>216</v>
      </c>
      <c r="W21" s="330">
        <v>168</v>
      </c>
      <c r="X21" s="330">
        <v>85</v>
      </c>
      <c r="Y21" s="330">
        <v>63</v>
      </c>
      <c r="Z21" s="330">
        <v>52</v>
      </c>
      <c r="AA21" s="330">
        <v>31</v>
      </c>
      <c r="AB21" s="330">
        <v>36</v>
      </c>
      <c r="AC21" s="330">
        <v>50</v>
      </c>
      <c r="AD21" s="330">
        <v>126</v>
      </c>
      <c r="AE21" s="330">
        <v>278</v>
      </c>
      <c r="AF21" s="330">
        <v>542</v>
      </c>
      <c r="AG21" s="330">
        <v>506</v>
      </c>
      <c r="AH21" s="330">
        <v>495</v>
      </c>
      <c r="AI21" s="330">
        <v>350</v>
      </c>
      <c r="AJ21" s="330">
        <v>350</v>
      </c>
      <c r="AK21" s="330">
        <v>132</v>
      </c>
      <c r="AL21" s="330">
        <v>100</v>
      </c>
      <c r="AM21" s="330">
        <v>63</v>
      </c>
      <c r="AN21" s="330">
        <v>63</v>
      </c>
      <c r="AO21" s="330">
        <v>71</v>
      </c>
      <c r="AP21" s="330">
        <v>135</v>
      </c>
      <c r="AQ21" s="330">
        <v>329</v>
      </c>
      <c r="AR21" s="330">
        <v>704</v>
      </c>
      <c r="AS21" s="330">
        <v>652</v>
      </c>
      <c r="AT21" s="330">
        <v>363</v>
      </c>
      <c r="AU21" s="330">
        <v>6592</v>
      </c>
    </row>
    <row customHeight="true" ht="13" r="22">
      <c r="A22" s="329"/>
      <c r="K22" s="329"/>
      <c r="L22" s="329">
        <f t="shared" si="4"/>
      </c>
      <c r="M22" s="329">
        <f t="shared" si="0"/>
      </c>
      <c r="N22" s="329">
        <f t="shared" si="1"/>
      </c>
      <c r="O22" s="330">
        <v>21</v>
      </c>
      <c r="P22" s="330">
        <v>0</v>
      </c>
      <c r="Q22" s="330">
        <v>4</v>
      </c>
      <c r="R22" s="330">
        <v>22</v>
      </c>
      <c r="S22" s="330">
        <v>127</v>
      </c>
      <c r="T22" s="330">
        <v>224</v>
      </c>
      <c r="U22" s="330">
        <v>220</v>
      </c>
      <c r="V22" s="330">
        <v>215</v>
      </c>
      <c r="W22" s="330">
        <v>159</v>
      </c>
      <c r="X22" s="330">
        <v>82</v>
      </c>
      <c r="Y22" s="330">
        <v>57</v>
      </c>
      <c r="Z22" s="330">
        <v>47</v>
      </c>
      <c r="AA22" s="330">
        <v>31</v>
      </c>
      <c r="AB22" s="330">
        <v>31</v>
      </c>
      <c r="AC22" s="330">
        <v>49</v>
      </c>
      <c r="AD22" s="330">
        <v>110</v>
      </c>
      <c r="AE22" s="330">
        <v>259</v>
      </c>
      <c r="AF22" s="330">
        <v>518</v>
      </c>
      <c r="AG22" s="330">
        <v>501</v>
      </c>
      <c r="AH22" s="330">
        <v>475</v>
      </c>
      <c r="AI22" s="330">
        <v>349</v>
      </c>
      <c r="AJ22" s="330">
        <v>349</v>
      </c>
      <c r="AK22" s="330">
        <v>124</v>
      </c>
      <c r="AL22" s="330">
        <v>99</v>
      </c>
      <c r="AM22" s="330">
        <v>61</v>
      </c>
      <c r="AN22" s="330">
        <v>63</v>
      </c>
      <c r="AO22" s="330">
        <v>69</v>
      </c>
      <c r="AP22" s="330">
        <v>135</v>
      </c>
      <c r="AQ22" s="330">
        <v>316</v>
      </c>
      <c r="AR22" s="330">
        <v>698</v>
      </c>
      <c r="AS22" s="330">
        <v>639</v>
      </c>
      <c r="AT22" s="330">
        <v>356</v>
      </c>
      <c r="AU22" s="330">
        <v>6389</v>
      </c>
    </row>
    <row customHeight="true" ht="13" r="23">
      <c r="A23" s="329"/>
      <c r="K23" s="329"/>
      <c r="L23" s="329">
        <f t="shared" si="4"/>
      </c>
      <c r="M23" s="329">
        <f t="shared" si="0"/>
      </c>
      <c r="N23" s="329">
        <f t="shared" si="1"/>
      </c>
      <c r="O23" s="330">
        <v>22</v>
      </c>
      <c r="P23" s="330">
        <v>0</v>
      </c>
      <c r="Q23" s="330">
        <v>4</v>
      </c>
      <c r="R23" s="330">
        <v>22</v>
      </c>
      <c r="S23" s="330">
        <v>111</v>
      </c>
      <c r="T23" s="330">
        <v>202</v>
      </c>
      <c r="U23" s="330">
        <v>210</v>
      </c>
      <c r="V23" s="330">
        <v>200</v>
      </c>
      <c r="W23" s="330">
        <v>153</v>
      </c>
      <c r="X23" s="330">
        <v>81</v>
      </c>
      <c r="Y23" s="330">
        <v>55</v>
      </c>
      <c r="Z23" s="330">
        <v>47</v>
      </c>
      <c r="AA23" s="330">
        <v>27</v>
      </c>
      <c r="AB23" s="330">
        <v>29</v>
      </c>
      <c r="AC23" s="330">
        <v>47</v>
      </c>
      <c r="AD23" s="330">
        <v>104</v>
      </c>
      <c r="AE23" s="330">
        <v>238</v>
      </c>
      <c r="AF23" s="330">
        <v>453</v>
      </c>
      <c r="AG23" s="330">
        <v>489</v>
      </c>
      <c r="AH23" s="330">
        <v>448</v>
      </c>
      <c r="AI23" s="330">
        <v>333</v>
      </c>
      <c r="AJ23" s="330">
        <v>333</v>
      </c>
      <c r="AK23" s="330">
        <v>119</v>
      </c>
      <c r="AL23" s="330">
        <v>97</v>
      </c>
      <c r="AM23" s="330">
        <v>59</v>
      </c>
      <c r="AN23" s="330">
        <v>62</v>
      </c>
      <c r="AO23" s="330">
        <v>66</v>
      </c>
      <c r="AP23" s="330">
        <v>111</v>
      </c>
      <c r="AQ23" s="330">
        <v>315</v>
      </c>
      <c r="AR23" s="330">
        <v>690</v>
      </c>
      <c r="AS23" s="330">
        <v>573</v>
      </c>
      <c r="AT23" s="330">
        <v>350</v>
      </c>
      <c r="AU23" s="330">
        <v>6028</v>
      </c>
    </row>
    <row customHeight="true" ht="13" r="24">
      <c r="A24" s="329"/>
      <c r="K24" s="329"/>
      <c r="L24" s="329">
        <f t="shared" si="4"/>
      </c>
      <c r="M24" s="329">
        <f t="shared" si="0"/>
      </c>
      <c r="N24" s="329">
        <f t="shared" si="1"/>
      </c>
      <c r="O24" s="330">
        <v>23</v>
      </c>
      <c r="P24" s="330">
        <v>0</v>
      </c>
      <c r="Q24" s="330">
        <v>3</v>
      </c>
      <c r="R24" s="330">
        <v>21</v>
      </c>
      <c r="S24" s="330">
        <v>110</v>
      </c>
      <c r="T24" s="330">
        <v>199</v>
      </c>
      <c r="U24" s="330">
        <v>207</v>
      </c>
      <c r="V24" s="330">
        <v>185</v>
      </c>
      <c r="W24" s="330">
        <v>149</v>
      </c>
      <c r="X24" s="330">
        <v>81</v>
      </c>
      <c r="Y24" s="330">
        <v>54</v>
      </c>
      <c r="Z24" s="330">
        <v>46</v>
      </c>
      <c r="AA24" s="330">
        <v>26</v>
      </c>
      <c r="AB24" s="330">
        <v>27</v>
      </c>
      <c r="AC24" s="330">
        <v>47</v>
      </c>
      <c r="AD24" s="330">
        <v>100</v>
      </c>
      <c r="AE24" s="330">
        <v>234</v>
      </c>
      <c r="AF24" s="330">
        <v>436</v>
      </c>
      <c r="AG24" s="330">
        <v>462</v>
      </c>
      <c r="AH24" s="330">
        <v>446</v>
      </c>
      <c r="AI24" s="330">
        <v>322</v>
      </c>
      <c r="AJ24" s="330">
        <v>322</v>
      </c>
      <c r="AK24" s="330">
        <v>117</v>
      </c>
      <c r="AL24" s="330">
        <v>88</v>
      </c>
      <c r="AM24" s="330">
        <v>59</v>
      </c>
      <c r="AN24" s="330">
        <v>61</v>
      </c>
      <c r="AO24" s="330">
        <v>63</v>
      </c>
      <c r="AP24" s="330">
        <v>110</v>
      </c>
      <c r="AQ24" s="330">
        <v>313</v>
      </c>
      <c r="AR24" s="330">
        <v>683</v>
      </c>
      <c r="AS24" s="330">
        <v>569</v>
      </c>
      <c r="AT24" s="330">
        <v>307</v>
      </c>
      <c r="AU24" s="330">
        <v>5847</v>
      </c>
    </row>
    <row customHeight="true" ht="13" r="25">
      <c r="A25" s="329"/>
      <c r="K25" s="329"/>
      <c r="L25" s="329">
        <f t="shared" si="4"/>
      </c>
      <c r="M25" s="329">
        <f t="shared" si="0"/>
      </c>
      <c r="N25" s="329">
        <f t="shared" si="1"/>
      </c>
      <c r="O25" s="330">
        <v>24</v>
      </c>
      <c r="P25" s="330">
        <v>0</v>
      </c>
      <c r="Q25" s="330">
        <v>3</v>
      </c>
      <c r="R25" s="330">
        <v>19</v>
      </c>
      <c r="S25" s="330">
        <v>103</v>
      </c>
      <c r="T25" s="330">
        <v>178</v>
      </c>
      <c r="U25" s="330">
        <v>205</v>
      </c>
      <c r="V25" s="330">
        <v>184</v>
      </c>
      <c r="W25" s="330">
        <v>137</v>
      </c>
      <c r="X25" s="330">
        <v>80</v>
      </c>
      <c r="Y25" s="330">
        <v>51</v>
      </c>
      <c r="Z25" s="330">
        <v>45</v>
      </c>
      <c r="AA25" s="330">
        <v>25</v>
      </c>
      <c r="AB25" s="330">
        <v>23</v>
      </c>
      <c r="AC25" s="330">
        <v>41</v>
      </c>
      <c r="AD25" s="330">
        <v>91</v>
      </c>
      <c r="AE25" s="330">
        <v>217</v>
      </c>
      <c r="AF25" s="330">
        <v>431</v>
      </c>
      <c r="AG25" s="330">
        <v>419</v>
      </c>
      <c r="AH25" s="330">
        <v>435</v>
      </c>
      <c r="AI25" s="330">
        <v>320</v>
      </c>
      <c r="AJ25" s="330">
        <v>320</v>
      </c>
      <c r="AK25" s="330">
        <v>111</v>
      </c>
      <c r="AL25" s="330">
        <v>88</v>
      </c>
      <c r="AM25" s="330">
        <v>59</v>
      </c>
      <c r="AN25" s="330">
        <v>60</v>
      </c>
      <c r="AO25" s="330">
        <v>61</v>
      </c>
      <c r="AP25" s="330">
        <v>105</v>
      </c>
      <c r="AQ25" s="330">
        <v>311</v>
      </c>
      <c r="AR25" s="330">
        <v>663</v>
      </c>
      <c r="AS25" s="330">
        <v>545</v>
      </c>
      <c r="AT25" s="330">
        <v>300</v>
      </c>
      <c r="AU25" s="330">
        <v>5630</v>
      </c>
    </row>
    <row customHeight="true" ht="13" r="26">
      <c r="A26" s="329"/>
      <c r="K26" s="329"/>
      <c r="L26" s="329">
        <f t="shared" si="4"/>
      </c>
      <c r="M26" s="329">
        <f t="shared" si="0"/>
      </c>
      <c r="N26" s="329">
        <f t="shared" si="1"/>
      </c>
      <c r="O26" s="330">
        <v>25</v>
      </c>
      <c r="P26" s="330">
        <v>0</v>
      </c>
      <c r="Q26" s="330">
        <v>3</v>
      </c>
      <c r="R26" s="330">
        <v>14</v>
      </c>
      <c r="S26" s="330">
        <v>91</v>
      </c>
      <c r="T26" s="330">
        <v>174</v>
      </c>
      <c r="U26" s="330">
        <v>203</v>
      </c>
      <c r="V26" s="330">
        <v>171</v>
      </c>
      <c r="W26" s="330">
        <v>126</v>
      </c>
      <c r="X26" s="330">
        <v>80</v>
      </c>
      <c r="Y26" s="330">
        <v>50</v>
      </c>
      <c r="Z26" s="330">
        <v>42</v>
      </c>
      <c r="AA26" s="330">
        <v>24</v>
      </c>
      <c r="AB26" s="330">
        <v>22</v>
      </c>
      <c r="AC26" s="330">
        <v>41</v>
      </c>
      <c r="AD26" s="330">
        <v>89</v>
      </c>
      <c r="AE26" s="330">
        <v>196</v>
      </c>
      <c r="AF26" s="330">
        <v>405</v>
      </c>
      <c r="AG26" s="330">
        <v>393</v>
      </c>
      <c r="AH26" s="330">
        <v>426</v>
      </c>
      <c r="AI26" s="330">
        <v>308</v>
      </c>
      <c r="AJ26" s="330">
        <v>317</v>
      </c>
      <c r="AK26" s="330">
        <v>110</v>
      </c>
      <c r="AL26" s="330">
        <v>82</v>
      </c>
      <c r="AM26" s="330">
        <v>58</v>
      </c>
      <c r="AN26" s="330">
        <v>58</v>
      </c>
      <c r="AO26" s="330">
        <v>60</v>
      </c>
      <c r="AP26" s="330">
        <v>104</v>
      </c>
      <c r="AQ26" s="330">
        <v>294</v>
      </c>
      <c r="AR26" s="330">
        <v>661</v>
      </c>
      <c r="AS26" s="330">
        <v>543</v>
      </c>
      <c r="AT26" s="330">
        <v>293</v>
      </c>
      <c r="AU26" s="330">
        <v>5438</v>
      </c>
    </row>
    <row customHeight="true" ht="13" r="27">
      <c r="A27" s="329"/>
      <c r="K27" s="329"/>
      <c r="L27" s="329">
        <f t="shared" si="4"/>
      </c>
      <c r="M27" s="329">
        <f t="shared" si="0"/>
      </c>
      <c r="N27" s="329">
        <f t="shared" si="1"/>
      </c>
      <c r="O27" s="330">
        <v>26</v>
      </c>
      <c r="P27" s="330">
        <v>0</v>
      </c>
      <c r="Q27" s="330">
        <v>3</v>
      </c>
      <c r="R27" s="330">
        <v>11</v>
      </c>
      <c r="S27" s="330">
        <v>82</v>
      </c>
      <c r="T27" s="330">
        <v>173</v>
      </c>
      <c r="U27" s="330">
        <v>193</v>
      </c>
      <c r="V27" s="330">
        <v>157</v>
      </c>
      <c r="W27" s="330">
        <v>119</v>
      </c>
      <c r="X27" s="330">
        <v>79</v>
      </c>
      <c r="Y27" s="330">
        <v>50</v>
      </c>
      <c r="Z27" s="330">
        <v>40</v>
      </c>
      <c r="AA27" s="330">
        <v>22</v>
      </c>
      <c r="AB27" s="330">
        <v>22</v>
      </c>
      <c r="AC27" s="330">
        <v>40</v>
      </c>
      <c r="AD27" s="330">
        <v>84</v>
      </c>
      <c r="AE27" s="330">
        <v>188</v>
      </c>
      <c r="AF27" s="330">
        <v>395</v>
      </c>
      <c r="AG27" s="330">
        <v>382</v>
      </c>
      <c r="AH27" s="330">
        <v>403</v>
      </c>
      <c r="AI27" s="330">
        <v>304</v>
      </c>
      <c r="AJ27" s="330">
        <v>308</v>
      </c>
      <c r="AK27" s="330">
        <v>107</v>
      </c>
      <c r="AL27" s="330">
        <v>80</v>
      </c>
      <c r="AM27" s="330">
        <v>55</v>
      </c>
      <c r="AN27" s="330">
        <v>57</v>
      </c>
      <c r="AO27" s="330">
        <v>59</v>
      </c>
      <c r="AP27" s="330">
        <v>102</v>
      </c>
      <c r="AQ27" s="330">
        <v>291</v>
      </c>
      <c r="AR27" s="330">
        <v>619</v>
      </c>
      <c r="AS27" s="330">
        <v>535</v>
      </c>
      <c r="AT27" s="330">
        <v>258</v>
      </c>
      <c r="AU27" s="330">
        <v>5218</v>
      </c>
    </row>
    <row customHeight="true" ht="13" r="28">
      <c r="A28" s="329"/>
      <c r="K28" s="329"/>
      <c r="L28" s="329">
        <f t="shared" si="4"/>
      </c>
      <c r="M28" s="329">
        <f t="shared" si="0"/>
      </c>
      <c r="N28" s="329">
        <f t="shared" si="1"/>
      </c>
      <c r="O28" s="330">
        <v>27</v>
      </c>
      <c r="P28" s="330">
        <v>0</v>
      </c>
      <c r="Q28" s="330">
        <v>3</v>
      </c>
      <c r="R28" s="330">
        <v>10</v>
      </c>
      <c r="S28" s="330">
        <v>81</v>
      </c>
      <c r="T28" s="330">
        <v>172</v>
      </c>
      <c r="U28" s="330">
        <v>188</v>
      </c>
      <c r="V28" s="330">
        <v>147</v>
      </c>
      <c r="W28" s="330">
        <v>112</v>
      </c>
      <c r="X28" s="330">
        <v>79</v>
      </c>
      <c r="Y28" s="330">
        <v>45</v>
      </c>
      <c r="Z28" s="330">
        <v>38</v>
      </c>
      <c r="AA28" s="330">
        <v>21</v>
      </c>
      <c r="AB28" s="330">
        <v>21</v>
      </c>
      <c r="AC28" s="330">
        <v>37</v>
      </c>
      <c r="AD28" s="330">
        <v>80</v>
      </c>
      <c r="AE28" s="330">
        <v>187</v>
      </c>
      <c r="AF28" s="330">
        <v>325</v>
      </c>
      <c r="AG28" s="330">
        <v>356</v>
      </c>
      <c r="AH28" s="330">
        <v>389</v>
      </c>
      <c r="AI28" s="330">
        <v>285</v>
      </c>
      <c r="AJ28" s="330">
        <v>304</v>
      </c>
      <c r="AK28" s="330">
        <v>103</v>
      </c>
      <c r="AL28" s="330">
        <v>70</v>
      </c>
      <c r="AM28" s="330">
        <v>53</v>
      </c>
      <c r="AN28" s="330">
        <v>55</v>
      </c>
      <c r="AO28" s="330">
        <v>57</v>
      </c>
      <c r="AP28" s="330">
        <v>99</v>
      </c>
      <c r="AQ28" s="330">
        <v>287</v>
      </c>
      <c r="AR28" s="330">
        <v>613</v>
      </c>
      <c r="AS28" s="330">
        <v>512</v>
      </c>
      <c r="AT28" s="330">
        <v>245</v>
      </c>
      <c r="AU28" s="330">
        <v>4974</v>
      </c>
    </row>
    <row customHeight="true" ht="13" r="29">
      <c r="A29" s="329"/>
      <c r="K29" s="329"/>
      <c r="L29" s="329">
        <f t="shared" si="4"/>
      </c>
      <c r="M29" s="329">
        <f t="shared" si="0"/>
      </c>
      <c r="N29" s="329">
        <f t="shared" si="1"/>
      </c>
      <c r="O29" s="330">
        <v>28</v>
      </c>
      <c r="P29" s="330">
        <v>0</v>
      </c>
      <c r="Q29" s="330">
        <v>3</v>
      </c>
      <c r="R29" s="330">
        <v>10</v>
      </c>
      <c r="S29" s="330">
        <v>76</v>
      </c>
      <c r="T29" s="330">
        <v>169</v>
      </c>
      <c r="U29" s="330">
        <v>183</v>
      </c>
      <c r="V29" s="330">
        <v>138</v>
      </c>
      <c r="W29" s="330">
        <v>110</v>
      </c>
      <c r="X29" s="330">
        <v>74</v>
      </c>
      <c r="Y29" s="330">
        <v>39</v>
      </c>
      <c r="Z29" s="330">
        <v>37</v>
      </c>
      <c r="AA29" s="330">
        <v>21</v>
      </c>
      <c r="AB29" s="330">
        <v>21</v>
      </c>
      <c r="AC29" s="330">
        <v>36</v>
      </c>
      <c r="AD29" s="330">
        <v>78</v>
      </c>
      <c r="AE29" s="330">
        <v>182</v>
      </c>
      <c r="AF29" s="330">
        <v>304</v>
      </c>
      <c r="AG29" s="330">
        <v>351</v>
      </c>
      <c r="AH29" s="330">
        <v>387</v>
      </c>
      <c r="AI29" s="330">
        <v>280</v>
      </c>
      <c r="AJ29" s="330">
        <v>285</v>
      </c>
      <c r="AK29" s="330">
        <v>93</v>
      </c>
      <c r="AL29" s="330">
        <v>68</v>
      </c>
      <c r="AM29" s="330">
        <v>50</v>
      </c>
      <c r="AN29" s="330">
        <v>47</v>
      </c>
      <c r="AO29" s="330">
        <v>53</v>
      </c>
      <c r="AP29" s="330">
        <v>98</v>
      </c>
      <c r="AQ29" s="330">
        <v>277</v>
      </c>
      <c r="AR29" s="330">
        <v>611</v>
      </c>
      <c r="AS29" s="330">
        <v>491</v>
      </c>
      <c r="AT29" s="330">
        <v>236</v>
      </c>
      <c r="AU29" s="330">
        <v>4808</v>
      </c>
    </row>
    <row customHeight="true" ht="13" r="30">
      <c r="A30" s="329"/>
      <c r="K30" s="329"/>
      <c r="L30" s="329">
        <f t="shared" si="4"/>
      </c>
      <c r="M30" s="329">
        <f t="shared" si="0"/>
      </c>
      <c r="N30" s="329">
        <f t="shared" si="1"/>
      </c>
      <c r="O30" s="330">
        <v>29</v>
      </c>
      <c r="P30" s="330">
        <v>0</v>
      </c>
      <c r="Q30" s="330">
        <v>3</v>
      </c>
      <c r="R30" s="330">
        <v>9</v>
      </c>
      <c r="S30" s="330">
        <v>64</v>
      </c>
      <c r="T30" s="330">
        <v>164</v>
      </c>
      <c r="U30" s="330">
        <v>178</v>
      </c>
      <c r="V30" s="330">
        <v>133</v>
      </c>
      <c r="W30" s="330">
        <v>93</v>
      </c>
      <c r="X30" s="330">
        <v>74</v>
      </c>
      <c r="Y30" s="330">
        <v>39</v>
      </c>
      <c r="Z30" s="330">
        <v>32</v>
      </c>
      <c r="AA30" s="330">
        <v>19</v>
      </c>
      <c r="AB30" s="330">
        <v>19</v>
      </c>
      <c r="AC30" s="330">
        <v>36</v>
      </c>
      <c r="AD30" s="330">
        <v>75</v>
      </c>
      <c r="AE30" s="330">
        <v>180</v>
      </c>
      <c r="AF30" s="330">
        <v>302</v>
      </c>
      <c r="AG30" s="330">
        <v>313</v>
      </c>
      <c r="AH30" s="330">
        <v>381</v>
      </c>
      <c r="AI30" s="330">
        <v>275</v>
      </c>
      <c r="AJ30" s="330">
        <v>280</v>
      </c>
      <c r="AK30" s="330">
        <v>88</v>
      </c>
      <c r="AL30" s="330">
        <v>68</v>
      </c>
      <c r="AM30" s="330">
        <v>48</v>
      </c>
      <c r="AN30" s="330">
        <v>46</v>
      </c>
      <c r="AO30" s="330">
        <v>53</v>
      </c>
      <c r="AP30" s="330">
        <v>95</v>
      </c>
      <c r="AQ30" s="330">
        <v>269</v>
      </c>
      <c r="AR30" s="330">
        <v>543</v>
      </c>
      <c r="AS30" s="330">
        <v>448</v>
      </c>
      <c r="AT30" s="330">
        <v>235</v>
      </c>
      <c r="AU30" s="330">
        <v>4562</v>
      </c>
    </row>
    <row customHeight="true" ht="13" r="31">
      <c r="A31" s="329"/>
      <c r="K31" s="329"/>
      <c r="L31" s="329">
        <f t="shared" si="4"/>
      </c>
      <c r="M31" s="329">
        <f t="shared" si="0"/>
      </c>
      <c r="N31" s="329">
        <f t="shared" si="1"/>
      </c>
      <c r="O31" s="330">
        <v>30</v>
      </c>
      <c r="P31" s="330">
        <v>0</v>
      </c>
      <c r="Q31" s="330">
        <v>3</v>
      </c>
      <c r="R31" s="330">
        <v>7</v>
      </c>
      <c r="S31" s="330">
        <v>62</v>
      </c>
      <c r="T31" s="330">
        <v>163</v>
      </c>
      <c r="U31" s="330">
        <v>166</v>
      </c>
      <c r="V31" s="330">
        <v>132</v>
      </c>
      <c r="W31" s="330">
        <v>88</v>
      </c>
      <c r="X31" s="330">
        <v>62</v>
      </c>
      <c r="Y31" s="330">
        <v>39</v>
      </c>
      <c r="Z31" s="330">
        <v>30</v>
      </c>
      <c r="AA31" s="330">
        <v>18</v>
      </c>
      <c r="AB31" s="330">
        <v>19</v>
      </c>
      <c r="AC31" s="330">
        <v>36</v>
      </c>
      <c r="AD31" s="330">
        <v>75</v>
      </c>
      <c r="AE31" s="330">
        <v>178</v>
      </c>
      <c r="AF31" s="330">
        <v>298</v>
      </c>
      <c r="AG31" s="330">
        <v>313</v>
      </c>
      <c r="AH31" s="330">
        <v>354</v>
      </c>
      <c r="AI31" s="330">
        <v>259</v>
      </c>
      <c r="AJ31" s="330">
        <v>275</v>
      </c>
      <c r="AK31" s="330">
        <v>87</v>
      </c>
      <c r="AL31" s="330">
        <v>66</v>
      </c>
      <c r="AM31" s="330">
        <v>48</v>
      </c>
      <c r="AN31" s="330">
        <v>42</v>
      </c>
      <c r="AO31" s="330">
        <v>52</v>
      </c>
      <c r="AP31" s="330">
        <v>93</v>
      </c>
      <c r="AQ31" s="330">
        <v>262</v>
      </c>
      <c r="AR31" s="330">
        <v>516</v>
      </c>
      <c r="AS31" s="330">
        <v>438</v>
      </c>
      <c r="AT31" s="330">
        <v>222</v>
      </c>
      <c r="AU31" s="330">
        <v>4403</v>
      </c>
    </row>
    <row customHeight="true" ht="13" r="32">
      <c r="A32" s="329"/>
      <c r="K32" s="329"/>
      <c r="L32" s="329">
        <f t="shared" si="4"/>
      </c>
      <c r="M32" s="329">
        <f t="shared" si="0"/>
      </c>
      <c r="N32" s="329">
        <f t="shared" si="1"/>
      </c>
      <c r="O32" s="330">
        <v>31</v>
      </c>
      <c r="P32" s="330">
        <v>0</v>
      </c>
      <c r="Q32" s="330">
        <v>3</v>
      </c>
      <c r="R32" s="330">
        <v>7</v>
      </c>
      <c r="S32" s="330">
        <v>56</v>
      </c>
      <c r="T32" s="330">
        <v>146</v>
      </c>
      <c r="U32" s="330">
        <v>165</v>
      </c>
      <c r="V32" s="330">
        <v>130</v>
      </c>
      <c r="W32" s="330">
        <v>87</v>
      </c>
      <c r="X32" s="330">
        <v>61</v>
      </c>
      <c r="Y32" s="330">
        <v>38</v>
      </c>
      <c r="Z32" s="330">
        <v>30</v>
      </c>
      <c r="AA32" s="330">
        <v>17</v>
      </c>
      <c r="AB32" s="330">
        <v>17</v>
      </c>
      <c r="AC32" s="330">
        <v>35</v>
      </c>
      <c r="AD32" s="330">
        <v>70</v>
      </c>
      <c r="AE32" s="330">
        <v>177</v>
      </c>
      <c r="AF32" s="330">
        <v>284</v>
      </c>
      <c r="AG32" s="330">
        <v>307</v>
      </c>
      <c r="AH32" s="330">
        <v>336</v>
      </c>
      <c r="AI32" s="330">
        <v>217</v>
      </c>
      <c r="AJ32" s="330">
        <v>259</v>
      </c>
      <c r="AK32" s="330">
        <v>86</v>
      </c>
      <c r="AL32" s="330">
        <v>66</v>
      </c>
      <c r="AM32" s="330">
        <v>42</v>
      </c>
      <c r="AN32" s="330">
        <v>41</v>
      </c>
      <c r="AO32" s="330">
        <v>51</v>
      </c>
      <c r="AP32" s="330">
        <v>90</v>
      </c>
      <c r="AQ32" s="330">
        <v>258</v>
      </c>
      <c r="AR32" s="330">
        <v>512</v>
      </c>
      <c r="AS32" s="330">
        <v>419</v>
      </c>
      <c r="AT32" s="330">
        <v>221</v>
      </c>
      <c r="AU32" s="330">
        <v>4228</v>
      </c>
    </row>
    <row customHeight="true" ht="13" r="33">
      <c r="A33" s="329"/>
      <c r="K33" s="329"/>
      <c r="L33" s="329">
        <f t="shared" si="4"/>
      </c>
      <c r="M33" s="329">
        <f t="shared" si="0"/>
      </c>
      <c r="N33" s="329">
        <f t="shared" si="1"/>
      </c>
      <c r="O33" s="330">
        <v>32</v>
      </c>
      <c r="P33" s="330">
        <v>0</v>
      </c>
      <c r="Q33" s="330">
        <v>2</v>
      </c>
      <c r="R33" s="330">
        <v>6</v>
      </c>
      <c r="S33" s="330">
        <v>55</v>
      </c>
      <c r="T33" s="330">
        <v>142</v>
      </c>
      <c r="U33" s="330">
        <v>162</v>
      </c>
      <c r="V33" s="330">
        <v>118</v>
      </c>
      <c r="W33" s="330">
        <v>82</v>
      </c>
      <c r="X33" s="330">
        <v>58</v>
      </c>
      <c r="Y33" s="330">
        <v>37</v>
      </c>
      <c r="Z33" s="330">
        <v>30</v>
      </c>
      <c r="AA33" s="330">
        <v>17</v>
      </c>
      <c r="AB33" s="330">
        <v>15</v>
      </c>
      <c r="AC33" s="330">
        <v>34</v>
      </c>
      <c r="AD33" s="330">
        <v>70</v>
      </c>
      <c r="AE33" s="330">
        <v>167</v>
      </c>
      <c r="AF33" s="330">
        <v>278</v>
      </c>
      <c r="AG33" s="330">
        <v>288</v>
      </c>
      <c r="AH33" s="330">
        <v>332</v>
      </c>
      <c r="AI33" s="330">
        <v>213</v>
      </c>
      <c r="AJ33" s="330">
        <v>213</v>
      </c>
      <c r="AK33" s="330">
        <v>85</v>
      </c>
      <c r="AL33" s="330">
        <v>64</v>
      </c>
      <c r="AM33" s="330">
        <v>41</v>
      </c>
      <c r="AN33" s="330">
        <v>40</v>
      </c>
      <c r="AO33" s="330">
        <v>49</v>
      </c>
      <c r="AP33" s="330">
        <v>88</v>
      </c>
      <c r="AQ33" s="330">
        <v>251</v>
      </c>
      <c r="AR33" s="330">
        <v>508</v>
      </c>
      <c r="AS33" s="330">
        <v>410</v>
      </c>
      <c r="AT33" s="330">
        <v>220</v>
      </c>
      <c r="AU33" s="330">
        <v>4075</v>
      </c>
    </row>
    <row customHeight="true" ht="13" r="34">
      <c r="A34" s="329"/>
      <c r="K34" s="329"/>
      <c r="L34" s="329">
        <f t="shared" si="4"/>
      </c>
      <c r="M34" s="329">
        <f t="shared" si="0"/>
      </c>
      <c r="N34" s="329">
        <f t="shared" si="1"/>
      </c>
      <c r="O34" s="330">
        <v>33</v>
      </c>
      <c r="P34" s="330">
        <v>0</v>
      </c>
      <c r="Q34" s="330">
        <v>2</v>
      </c>
      <c r="R34" s="330">
        <v>6</v>
      </c>
      <c r="S34" s="330">
        <v>53</v>
      </c>
      <c r="T34" s="330">
        <v>140</v>
      </c>
      <c r="U34" s="330">
        <v>153</v>
      </c>
      <c r="V34" s="330">
        <v>115</v>
      </c>
      <c r="W34" s="330">
        <v>82</v>
      </c>
      <c r="X34" s="330">
        <v>57</v>
      </c>
      <c r="Y34" s="330">
        <v>35</v>
      </c>
      <c r="Z34" s="330">
        <v>30</v>
      </c>
      <c r="AA34" s="330">
        <v>16</v>
      </c>
      <c r="AB34" s="330">
        <v>15</v>
      </c>
      <c r="AC34" s="330">
        <v>31</v>
      </c>
      <c r="AD34" s="330">
        <v>66</v>
      </c>
      <c r="AE34" s="330">
        <v>156</v>
      </c>
      <c r="AF34" s="330">
        <v>269</v>
      </c>
      <c r="AG34" s="330">
        <v>281</v>
      </c>
      <c r="AH34" s="330">
        <v>309</v>
      </c>
      <c r="AI34" s="330">
        <v>211</v>
      </c>
      <c r="AJ34" s="330">
        <v>211</v>
      </c>
      <c r="AK34" s="330">
        <v>83</v>
      </c>
      <c r="AL34" s="330">
        <v>63</v>
      </c>
      <c r="AM34" s="330">
        <v>40</v>
      </c>
      <c r="AN34" s="330">
        <v>38</v>
      </c>
      <c r="AO34" s="330">
        <v>49</v>
      </c>
      <c r="AP34" s="330">
        <v>85</v>
      </c>
      <c r="AQ34" s="330">
        <v>231</v>
      </c>
      <c r="AR34" s="330">
        <v>499</v>
      </c>
      <c r="AS34" s="330">
        <v>368</v>
      </c>
      <c r="AT34" s="330">
        <v>198</v>
      </c>
      <c r="AU34" s="330">
        <v>3892</v>
      </c>
    </row>
    <row customHeight="true" ht="13" r="35">
      <c r="A35" s="329"/>
      <c r="K35" s="329"/>
      <c r="L35" s="329">
        <f t="shared" si="4"/>
      </c>
      <c r="M35" s="329">
        <f t="shared" si="0"/>
      </c>
      <c r="N35" s="329">
        <f t="shared" si="1"/>
      </c>
      <c r="O35" s="330">
        <v>34</v>
      </c>
      <c r="P35" s="330">
        <v>0</v>
      </c>
      <c r="Q35" s="330">
        <v>2</v>
      </c>
      <c r="R35" s="330">
        <v>6</v>
      </c>
      <c r="S35" s="330">
        <v>40</v>
      </c>
      <c r="T35" s="330">
        <v>134</v>
      </c>
      <c r="U35" s="330">
        <v>150</v>
      </c>
      <c r="V35" s="330">
        <v>110</v>
      </c>
      <c r="W35" s="330">
        <v>81</v>
      </c>
      <c r="X35" s="330">
        <v>55</v>
      </c>
      <c r="Y35" s="330">
        <v>30</v>
      </c>
      <c r="Z35" s="330">
        <v>30</v>
      </c>
      <c r="AA35" s="330">
        <v>15</v>
      </c>
      <c r="AB35" s="330">
        <v>13</v>
      </c>
      <c r="AC35" s="330">
        <v>28</v>
      </c>
      <c r="AD35" s="330">
        <v>63</v>
      </c>
      <c r="AE35" s="330">
        <v>146</v>
      </c>
      <c r="AF35" s="330">
        <v>268</v>
      </c>
      <c r="AG35" s="330">
        <v>263</v>
      </c>
      <c r="AH35" s="330">
        <v>297</v>
      </c>
      <c r="AI35" s="330">
        <v>160</v>
      </c>
      <c r="AJ35" s="330">
        <v>160</v>
      </c>
      <c r="AK35" s="330">
        <v>80</v>
      </c>
      <c r="AL35" s="330">
        <v>59</v>
      </c>
      <c r="AM35" s="330">
        <v>39</v>
      </c>
      <c r="AN35" s="330">
        <v>35</v>
      </c>
      <c r="AO35" s="330">
        <v>49</v>
      </c>
      <c r="AP35" s="330">
        <v>84</v>
      </c>
      <c r="AQ35" s="330">
        <v>220</v>
      </c>
      <c r="AR35" s="330">
        <v>481</v>
      </c>
      <c r="AS35" s="330">
        <v>365</v>
      </c>
      <c r="AT35" s="330">
        <v>196</v>
      </c>
      <c r="AU35" s="330">
        <v>3659</v>
      </c>
    </row>
    <row customHeight="true" ht="13" r="36">
      <c r="A36" s="329"/>
      <c r="K36" s="329"/>
      <c r="L36" s="329">
        <f t="shared" si="4"/>
      </c>
      <c r="M36" s="329">
        <f t="shared" si="0"/>
      </c>
      <c r="N36" s="329">
        <f t="shared" si="1"/>
      </c>
      <c r="O36" s="330">
        <v>35</v>
      </c>
      <c r="P36" s="330">
        <v>0</v>
      </c>
      <c r="Q36" s="330">
        <v>2</v>
      </c>
      <c r="R36" s="330">
        <v>6</v>
      </c>
      <c r="S36" s="330">
        <v>38</v>
      </c>
      <c r="T36" s="330">
        <v>132</v>
      </c>
      <c r="U36" s="330">
        <v>140</v>
      </c>
      <c r="V36" s="330">
        <v>106</v>
      </c>
      <c r="W36" s="330">
        <v>79</v>
      </c>
      <c r="X36" s="330">
        <v>55</v>
      </c>
      <c r="Y36" s="330">
        <v>30</v>
      </c>
      <c r="Z36" s="330">
        <v>28</v>
      </c>
      <c r="AA36" s="330">
        <v>15</v>
      </c>
      <c r="AB36" s="330">
        <v>11</v>
      </c>
      <c r="AC36" s="330">
        <v>28</v>
      </c>
      <c r="AD36" s="330">
        <v>63</v>
      </c>
      <c r="AE36" s="330">
        <v>142</v>
      </c>
      <c r="AF36" s="330">
        <v>261</v>
      </c>
      <c r="AG36" s="330">
        <v>263</v>
      </c>
      <c r="AH36" s="330">
        <v>288</v>
      </c>
      <c r="AI36" s="330">
        <v>155</v>
      </c>
      <c r="AJ36" s="330">
        <v>155</v>
      </c>
      <c r="AK36" s="330">
        <v>80</v>
      </c>
      <c r="AL36" s="330">
        <v>52</v>
      </c>
      <c r="AM36" s="330">
        <v>37</v>
      </c>
      <c r="AN36" s="330">
        <v>35</v>
      </c>
      <c r="AO36" s="330">
        <v>44</v>
      </c>
      <c r="AP36" s="330">
        <v>81</v>
      </c>
      <c r="AQ36" s="330">
        <v>209</v>
      </c>
      <c r="AR36" s="330">
        <v>463</v>
      </c>
      <c r="AS36" s="330">
        <v>354</v>
      </c>
      <c r="AT36" s="330">
        <v>195</v>
      </c>
      <c r="AU36" s="330">
        <v>3547</v>
      </c>
    </row>
    <row customHeight="true" ht="13" r="37">
      <c r="A37" s="329"/>
      <c r="K37" s="329"/>
      <c r="L37" s="329">
        <f t="shared" si="4"/>
      </c>
      <c r="M37" s="329">
        <f t="shared" si="0"/>
      </c>
      <c r="N37" s="329">
        <f t="shared" si="1"/>
      </c>
      <c r="O37" s="330">
        <v>36</v>
      </c>
      <c r="P37" s="330">
        <v>0</v>
      </c>
      <c r="Q37" s="330">
        <v>2</v>
      </c>
      <c r="R37" s="330">
        <v>5</v>
      </c>
      <c r="S37" s="330">
        <v>34</v>
      </c>
      <c r="T37" s="330">
        <v>115</v>
      </c>
      <c r="U37" s="330">
        <v>137</v>
      </c>
      <c r="V37" s="330">
        <v>105</v>
      </c>
      <c r="W37" s="330">
        <v>76</v>
      </c>
      <c r="X37" s="330">
        <v>55</v>
      </c>
      <c r="Y37" s="330">
        <v>29</v>
      </c>
      <c r="Z37" s="330">
        <v>25</v>
      </c>
      <c r="AA37" s="330">
        <v>15</v>
      </c>
      <c r="AB37" s="330">
        <v>11</v>
      </c>
      <c r="AC37" s="330">
        <v>28</v>
      </c>
      <c r="AD37" s="330">
        <v>61</v>
      </c>
      <c r="AE37" s="330">
        <v>135</v>
      </c>
      <c r="AF37" s="330">
        <v>220</v>
      </c>
      <c r="AG37" s="330">
        <v>246</v>
      </c>
      <c r="AH37" s="330">
        <v>274</v>
      </c>
      <c r="AI37" s="330">
        <v>155</v>
      </c>
      <c r="AJ37" s="330">
        <v>155</v>
      </c>
      <c r="AK37" s="330">
        <v>80</v>
      </c>
      <c r="AL37" s="330">
        <v>49</v>
      </c>
      <c r="AM37" s="330">
        <v>37</v>
      </c>
      <c r="AN37" s="330">
        <v>34</v>
      </c>
      <c r="AO37" s="330">
        <v>43</v>
      </c>
      <c r="AP37" s="330">
        <v>78</v>
      </c>
      <c r="AQ37" s="330">
        <v>195</v>
      </c>
      <c r="AR37" s="330">
        <v>456</v>
      </c>
      <c r="AS37" s="330">
        <v>342</v>
      </c>
      <c r="AT37" s="330">
        <v>179</v>
      </c>
      <c r="AU37" s="330">
        <v>3376</v>
      </c>
    </row>
    <row customHeight="true" ht="13" r="38">
      <c r="A38" s="329"/>
      <c r="K38" s="329"/>
      <c r="L38" s="329">
        <f t="shared" si="4"/>
      </c>
      <c r="M38" s="329">
        <f t="shared" si="0"/>
      </c>
      <c r="N38" s="329">
        <f t="shared" si="1"/>
      </c>
      <c r="O38" s="330">
        <v>37</v>
      </c>
      <c r="Q38" s="330">
        <v>2</v>
      </c>
      <c r="R38" s="330">
        <v>5</v>
      </c>
      <c r="S38" s="330">
        <v>30</v>
      </c>
      <c r="T38" s="330">
        <v>110</v>
      </c>
      <c r="U38" s="330">
        <v>126</v>
      </c>
      <c r="V38" s="330">
        <v>105</v>
      </c>
      <c r="W38" s="330">
        <v>74</v>
      </c>
      <c r="X38" s="330">
        <v>53</v>
      </c>
      <c r="Y38" s="330">
        <v>28</v>
      </c>
      <c r="Z38" s="330">
        <v>25</v>
      </c>
      <c r="AA38" s="330">
        <v>14</v>
      </c>
      <c r="AB38" s="330">
        <v>11</v>
      </c>
      <c r="AC38" s="330">
        <v>27</v>
      </c>
      <c r="AD38" s="330">
        <v>57</v>
      </c>
      <c r="AE38" s="330">
        <v>134</v>
      </c>
      <c r="AF38" s="330">
        <v>218</v>
      </c>
      <c r="AG38" s="330">
        <v>230</v>
      </c>
      <c r="AH38" s="330">
        <v>247</v>
      </c>
      <c r="AI38" s="330">
        <v>154</v>
      </c>
      <c r="AJ38" s="330">
        <v>154</v>
      </c>
      <c r="AK38" s="330">
        <v>75</v>
      </c>
      <c r="AL38" s="330">
        <v>46</v>
      </c>
      <c r="AM38" s="330">
        <v>35</v>
      </c>
      <c r="AN38" s="330">
        <v>34</v>
      </c>
      <c r="AO38" s="330">
        <v>40</v>
      </c>
      <c r="AP38" s="330">
        <v>78</v>
      </c>
      <c r="AQ38" s="330">
        <v>189</v>
      </c>
      <c r="AR38" s="330">
        <v>442</v>
      </c>
      <c r="AS38" s="330">
        <v>337</v>
      </c>
      <c r="AT38" s="330">
        <v>170</v>
      </c>
      <c r="AU38" s="330">
        <v>3250</v>
      </c>
    </row>
    <row customHeight="true" ht="13" r="39">
      <c r="A39" s="329"/>
      <c r="K39" s="329"/>
      <c r="L39" s="329">
        <f t="shared" si="4"/>
      </c>
      <c r="M39" s="329">
        <f t="shared" si="0"/>
      </c>
      <c r="N39" s="329">
        <f t="shared" si="1"/>
      </c>
      <c r="O39" s="330">
        <v>38</v>
      </c>
      <c r="Q39" s="330">
        <v>1</v>
      </c>
      <c r="R39" s="330">
        <v>5</v>
      </c>
      <c r="S39" s="330">
        <v>29</v>
      </c>
      <c r="T39" s="330">
        <v>109</v>
      </c>
      <c r="U39" s="330">
        <v>124</v>
      </c>
      <c r="V39" s="330">
        <v>101</v>
      </c>
      <c r="W39" s="330">
        <v>70</v>
      </c>
      <c r="X39" s="330">
        <v>52</v>
      </c>
      <c r="Y39" s="330">
        <v>27</v>
      </c>
      <c r="Z39" s="330">
        <v>23</v>
      </c>
      <c r="AA39" s="330">
        <v>13</v>
      </c>
      <c r="AB39" s="330">
        <v>10</v>
      </c>
      <c r="AC39" s="330">
        <v>25</v>
      </c>
      <c r="AD39" s="330">
        <v>50</v>
      </c>
      <c r="AE39" s="330">
        <v>134</v>
      </c>
      <c r="AF39" s="330">
        <v>207</v>
      </c>
      <c r="AG39" s="330">
        <v>222</v>
      </c>
      <c r="AH39" s="330">
        <v>246</v>
      </c>
      <c r="AI39" s="330">
        <v>128</v>
      </c>
      <c r="AJ39" s="330">
        <v>128</v>
      </c>
      <c r="AK39" s="330">
        <v>66</v>
      </c>
      <c r="AL39" s="330">
        <v>42</v>
      </c>
      <c r="AM39" s="330">
        <v>34</v>
      </c>
      <c r="AN39" s="330">
        <v>32</v>
      </c>
      <c r="AO39" s="330">
        <v>38</v>
      </c>
      <c r="AP39" s="330">
        <v>74</v>
      </c>
      <c r="AQ39" s="330">
        <v>187</v>
      </c>
      <c r="AR39" s="330">
        <v>442</v>
      </c>
      <c r="AS39" s="330">
        <v>321</v>
      </c>
      <c r="AT39" s="330">
        <v>163</v>
      </c>
      <c r="AU39" s="330">
        <v>3103</v>
      </c>
    </row>
    <row customHeight="true" ht="13" r="40">
      <c r="A40" s="329"/>
      <c r="K40" s="329"/>
      <c r="L40" s="329">
        <f t="shared" si="4"/>
      </c>
      <c r="M40" s="329">
        <f t="shared" si="0"/>
      </c>
      <c r="N40" s="329">
        <f t="shared" si="1"/>
      </c>
      <c r="O40" s="330">
        <v>39</v>
      </c>
      <c r="Q40" s="330">
        <v>1</v>
      </c>
      <c r="R40" s="330">
        <v>4</v>
      </c>
      <c r="S40" s="330">
        <v>28</v>
      </c>
      <c r="T40" s="330">
        <v>108</v>
      </c>
      <c r="U40" s="330">
        <v>115</v>
      </c>
      <c r="V40" s="330">
        <v>98</v>
      </c>
      <c r="W40" s="330">
        <v>63</v>
      </c>
      <c r="X40" s="330">
        <v>48</v>
      </c>
      <c r="Y40" s="330">
        <v>26</v>
      </c>
      <c r="Z40" s="330">
        <v>23</v>
      </c>
      <c r="AA40" s="330">
        <v>10</v>
      </c>
      <c r="AB40" s="330">
        <v>9</v>
      </c>
      <c r="AC40" s="330">
        <v>24</v>
      </c>
      <c r="AD40" s="330">
        <v>50</v>
      </c>
      <c r="AE40" s="330">
        <v>131</v>
      </c>
      <c r="AF40" s="330">
        <v>204</v>
      </c>
      <c r="AG40" s="330">
        <v>219</v>
      </c>
      <c r="AH40" s="330">
        <v>245</v>
      </c>
      <c r="AI40" s="330">
        <v>127</v>
      </c>
      <c r="AJ40" s="330">
        <v>127</v>
      </c>
      <c r="AK40" s="330">
        <v>62</v>
      </c>
      <c r="AL40" s="330">
        <v>39</v>
      </c>
      <c r="AM40" s="330">
        <v>33</v>
      </c>
      <c r="AN40" s="330">
        <v>30</v>
      </c>
      <c r="AO40" s="330">
        <v>38</v>
      </c>
      <c r="AP40" s="330">
        <v>69</v>
      </c>
      <c r="AQ40" s="330">
        <v>179</v>
      </c>
      <c r="AR40" s="330">
        <v>426</v>
      </c>
      <c r="AS40" s="330">
        <v>317</v>
      </c>
      <c r="AT40" s="330">
        <v>145</v>
      </c>
      <c r="AU40" s="330">
        <v>2998</v>
      </c>
    </row>
    <row customHeight="true" ht="13" r="41">
      <c r="A41" s="329"/>
      <c r="K41" s="329"/>
      <c r="L41" s="329">
        <f t="shared" si="4"/>
      </c>
      <c r="M41" s="329">
        <f t="shared" si="0"/>
      </c>
      <c r="N41" s="329">
        <f t="shared" si="1"/>
      </c>
      <c r="O41" s="330">
        <v>40</v>
      </c>
      <c r="Q41" s="330">
        <v>1</v>
      </c>
      <c r="R41" s="330">
        <v>4</v>
      </c>
      <c r="S41" s="330">
        <v>26</v>
      </c>
      <c r="T41" s="330">
        <v>106</v>
      </c>
      <c r="U41" s="330">
        <v>99</v>
      </c>
      <c r="V41" s="330">
        <v>93</v>
      </c>
      <c r="W41" s="330">
        <v>63</v>
      </c>
      <c r="X41" s="330">
        <v>46</v>
      </c>
      <c r="Y41" s="330">
        <v>25</v>
      </c>
      <c r="Z41" s="330">
        <v>21</v>
      </c>
      <c r="AA41" s="330">
        <v>8</v>
      </c>
      <c r="AB41" s="330">
        <v>9</v>
      </c>
      <c r="AC41" s="330">
        <v>23</v>
      </c>
      <c r="AD41" s="330">
        <v>44</v>
      </c>
      <c r="AE41" s="330">
        <v>121</v>
      </c>
      <c r="AF41" s="330">
        <v>186</v>
      </c>
      <c r="AG41" s="330">
        <v>207</v>
      </c>
      <c r="AH41" s="330">
        <v>217</v>
      </c>
      <c r="AI41" s="330">
        <v>126</v>
      </c>
      <c r="AJ41" s="330">
        <v>126</v>
      </c>
      <c r="AK41" s="330">
        <v>60</v>
      </c>
      <c r="AL41" s="330">
        <v>39</v>
      </c>
      <c r="AM41" s="330">
        <v>33</v>
      </c>
      <c r="AN41" s="330">
        <v>30</v>
      </c>
      <c r="AO41" s="330">
        <v>35</v>
      </c>
      <c r="AP41" s="330">
        <v>65</v>
      </c>
      <c r="AQ41" s="330">
        <v>163</v>
      </c>
      <c r="AR41" s="330">
        <v>415</v>
      </c>
      <c r="AS41" s="330">
        <v>312</v>
      </c>
      <c r="AT41" s="330">
        <v>144</v>
      </c>
      <c r="AU41" s="330">
        <v>2847</v>
      </c>
    </row>
    <row customHeight="true" ht="13" r="42">
      <c r="A42" s="329"/>
      <c r="K42" s="329"/>
      <c r="L42" s="329">
        <f t="shared" si="4"/>
      </c>
      <c r="M42" s="329">
        <f t="shared" si="0"/>
      </c>
      <c r="N42" s="329">
        <f t="shared" si="1"/>
      </c>
      <c r="O42" s="330">
        <v>41</v>
      </c>
      <c r="Q42" s="330">
        <v>1</v>
      </c>
      <c r="R42" s="330">
        <v>4</v>
      </c>
      <c r="S42" s="330">
        <v>22</v>
      </c>
      <c r="T42" s="330">
        <v>101</v>
      </c>
      <c r="U42" s="330">
        <v>98</v>
      </c>
      <c r="V42" s="330">
        <v>89</v>
      </c>
      <c r="W42" s="330">
        <v>60</v>
      </c>
      <c r="X42" s="330">
        <v>44</v>
      </c>
      <c r="Y42" s="330">
        <v>25</v>
      </c>
      <c r="Z42" s="330">
        <v>21</v>
      </c>
      <c r="AA42" s="330">
        <v>8</v>
      </c>
      <c r="AB42" s="330">
        <v>9</v>
      </c>
      <c r="AC42" s="330">
        <v>23</v>
      </c>
      <c r="AD42" s="330">
        <v>43</v>
      </c>
      <c r="AE42" s="330">
        <v>111</v>
      </c>
      <c r="AF42" s="330">
        <v>179</v>
      </c>
      <c r="AG42" s="330">
        <v>192</v>
      </c>
      <c r="AH42" s="330">
        <v>216</v>
      </c>
      <c r="AI42" s="330">
        <v>125</v>
      </c>
      <c r="AJ42" s="330">
        <v>125</v>
      </c>
      <c r="AK42" s="330">
        <v>56</v>
      </c>
      <c r="AL42" s="330">
        <v>39</v>
      </c>
      <c r="AM42" s="330">
        <v>31</v>
      </c>
      <c r="AN42" s="330">
        <v>28</v>
      </c>
      <c r="AO42" s="330">
        <v>31</v>
      </c>
      <c r="AP42" s="330">
        <v>62</v>
      </c>
      <c r="AQ42" s="330">
        <v>162</v>
      </c>
      <c r="AR42" s="330">
        <v>411</v>
      </c>
      <c r="AS42" s="330">
        <v>290</v>
      </c>
      <c r="AT42" s="330">
        <v>144</v>
      </c>
      <c r="AU42" s="330">
        <v>2750</v>
      </c>
    </row>
    <row customHeight="true" ht="13" r="43">
      <c r="A43" s="329"/>
      <c r="K43" s="329"/>
      <c r="L43" s="329">
        <f t="shared" si="4"/>
      </c>
      <c r="M43" s="329">
        <f t="shared" si="0"/>
      </c>
      <c r="N43" s="329">
        <f t="shared" si="1"/>
      </c>
      <c r="O43" s="330">
        <v>42</v>
      </c>
      <c r="Q43" s="330">
        <v>1</v>
      </c>
      <c r="R43" s="330">
        <v>3</v>
      </c>
      <c r="S43" s="330">
        <v>21</v>
      </c>
      <c r="T43" s="330">
        <v>95</v>
      </c>
      <c r="U43" s="330">
        <v>88</v>
      </c>
      <c r="V43" s="330">
        <v>88</v>
      </c>
      <c r="W43" s="330">
        <v>58</v>
      </c>
      <c r="X43" s="330">
        <v>42</v>
      </c>
      <c r="Y43" s="330">
        <v>25</v>
      </c>
      <c r="Z43" s="330">
        <v>21</v>
      </c>
      <c r="AA43" s="330">
        <v>8</v>
      </c>
      <c r="AB43" s="330">
        <v>8</v>
      </c>
      <c r="AC43" s="330">
        <v>23</v>
      </c>
      <c r="AD43" s="330">
        <v>42</v>
      </c>
      <c r="AE43" s="330">
        <v>111</v>
      </c>
      <c r="AF43" s="330">
        <v>168</v>
      </c>
      <c r="AG43" s="330">
        <v>188</v>
      </c>
      <c r="AH43" s="330">
        <v>210</v>
      </c>
      <c r="AI43" s="330">
        <v>119</v>
      </c>
      <c r="AJ43" s="330">
        <v>119</v>
      </c>
      <c r="AK43" s="330">
        <v>54</v>
      </c>
      <c r="AL43" s="330">
        <v>37</v>
      </c>
      <c r="AM43" s="330">
        <v>28</v>
      </c>
      <c r="AN43" s="330">
        <v>27</v>
      </c>
      <c r="AO43" s="330">
        <v>30</v>
      </c>
      <c r="AP43" s="330">
        <v>61</v>
      </c>
      <c r="AQ43" s="330">
        <v>148</v>
      </c>
      <c r="AR43" s="330">
        <v>391</v>
      </c>
      <c r="AS43" s="330">
        <v>286</v>
      </c>
      <c r="AT43" s="330">
        <v>137</v>
      </c>
      <c r="AU43" s="330">
        <v>2637</v>
      </c>
    </row>
    <row customHeight="true" ht="13" r="44">
      <c r="A44" s="329"/>
      <c r="K44" s="329"/>
      <c r="L44" s="329">
        <f t="shared" si="4"/>
      </c>
      <c r="M44" s="329">
        <f t="shared" si="0"/>
      </c>
      <c r="N44" s="329">
        <f t="shared" si="1"/>
      </c>
      <c r="O44" s="330">
        <v>43</v>
      </c>
      <c r="Q44" s="330">
        <v>1</v>
      </c>
      <c r="R44" s="330">
        <v>3</v>
      </c>
      <c r="S44" s="330">
        <v>18</v>
      </c>
      <c r="T44" s="330">
        <v>85</v>
      </c>
      <c r="U44" s="330">
        <v>87</v>
      </c>
      <c r="V44" s="330">
        <v>75</v>
      </c>
      <c r="W44" s="330">
        <v>53</v>
      </c>
      <c r="X44" s="330">
        <v>41</v>
      </c>
      <c r="Y44" s="330">
        <v>24</v>
      </c>
      <c r="Z44" s="330">
        <v>20</v>
      </c>
      <c r="AA44" s="330">
        <v>6</v>
      </c>
      <c r="AB44" s="330">
        <v>8</v>
      </c>
      <c r="AC44" s="330">
        <v>20</v>
      </c>
      <c r="AD44" s="330">
        <v>40</v>
      </c>
      <c r="AE44" s="330">
        <v>106</v>
      </c>
      <c r="AF44" s="330">
        <v>164</v>
      </c>
      <c r="AG44" s="330">
        <v>174</v>
      </c>
      <c r="AH44" s="330">
        <v>205</v>
      </c>
      <c r="AI44" s="330">
        <v>117</v>
      </c>
      <c r="AJ44" s="330">
        <v>117</v>
      </c>
      <c r="AK44" s="330">
        <v>52</v>
      </c>
      <c r="AL44" s="330">
        <v>37</v>
      </c>
      <c r="AM44" s="330">
        <v>25</v>
      </c>
      <c r="AN44" s="330">
        <v>26</v>
      </c>
      <c r="AO44" s="330">
        <v>29</v>
      </c>
      <c r="AP44" s="330">
        <v>61</v>
      </c>
      <c r="AQ44" s="330">
        <v>143</v>
      </c>
      <c r="AR44" s="330">
        <v>390</v>
      </c>
      <c r="AS44" s="330">
        <v>281</v>
      </c>
      <c r="AT44" s="330">
        <v>135</v>
      </c>
      <c r="AU44" s="330">
        <v>2543</v>
      </c>
    </row>
    <row customHeight="true" ht="13" r="45">
      <c r="A45" s="329"/>
      <c r="L45" s="329">
        <f t="shared" si="4"/>
      </c>
      <c r="M45" s="329">
        <f t="shared" si="0"/>
      </c>
      <c r="N45" s="329">
        <f t="shared" si="1"/>
      </c>
      <c r="O45" s="330">
        <v>44</v>
      </c>
      <c r="Q45" s="330">
        <v>1</v>
      </c>
      <c r="R45" s="330">
        <v>3</v>
      </c>
      <c r="S45" s="330">
        <v>17</v>
      </c>
      <c r="T45" s="330">
        <v>78</v>
      </c>
      <c r="U45" s="330">
        <v>85</v>
      </c>
      <c r="V45" s="330">
        <v>73</v>
      </c>
      <c r="W45" s="330">
        <v>53</v>
      </c>
      <c r="X45" s="330">
        <v>38</v>
      </c>
      <c r="Y45" s="330">
        <v>24</v>
      </c>
      <c r="Z45" s="330">
        <v>19</v>
      </c>
      <c r="AA45" s="330">
        <v>6</v>
      </c>
      <c r="AB45" s="330">
        <v>8</v>
      </c>
      <c r="AC45" s="330">
        <v>20</v>
      </c>
      <c r="AD45" s="330">
        <v>37</v>
      </c>
      <c r="AE45" s="330">
        <v>99</v>
      </c>
      <c r="AF45" s="330">
        <v>161</v>
      </c>
      <c r="AG45" s="330">
        <v>171</v>
      </c>
      <c r="AH45" s="330">
        <v>201</v>
      </c>
      <c r="AI45" s="330">
        <v>107</v>
      </c>
      <c r="AJ45" s="330">
        <v>107</v>
      </c>
      <c r="AK45" s="330">
        <v>52</v>
      </c>
      <c r="AL45" s="330">
        <v>35</v>
      </c>
      <c r="AM45" s="330">
        <v>24</v>
      </c>
      <c r="AN45" s="330">
        <v>25</v>
      </c>
      <c r="AO45" s="330">
        <v>28</v>
      </c>
      <c r="AP45" s="330">
        <v>61</v>
      </c>
      <c r="AQ45" s="330">
        <v>139</v>
      </c>
      <c r="AR45" s="330">
        <v>374</v>
      </c>
      <c r="AS45" s="330">
        <v>280</v>
      </c>
      <c r="AT45" s="330">
        <v>133</v>
      </c>
      <c r="AU45" s="330">
        <v>2459</v>
      </c>
    </row>
    <row customHeight="true" ht="13" r="46">
      <c r="A46" s="329"/>
      <c r="L46" s="329">
        <f t="shared" si="4"/>
      </c>
      <c r="M46" s="329">
        <f t="shared" si="0"/>
      </c>
      <c r="N46" s="329">
        <f t="shared" si="1"/>
      </c>
      <c r="O46" s="330">
        <v>45</v>
      </c>
      <c r="Q46" s="330">
        <v>1</v>
      </c>
      <c r="R46" s="330">
        <v>3</v>
      </c>
      <c r="S46" s="330">
        <v>16</v>
      </c>
      <c r="T46" s="330">
        <v>69</v>
      </c>
      <c r="U46" s="330">
        <v>75</v>
      </c>
      <c r="V46" s="330">
        <v>73</v>
      </c>
      <c r="W46" s="330">
        <v>50</v>
      </c>
      <c r="X46" s="330">
        <v>38</v>
      </c>
      <c r="Y46" s="330">
        <v>23</v>
      </c>
      <c r="Z46" s="330">
        <v>18</v>
      </c>
      <c r="AA46" s="330">
        <v>6</v>
      </c>
      <c r="AB46" s="330">
        <v>6</v>
      </c>
      <c r="AC46" s="330">
        <v>20</v>
      </c>
      <c r="AD46" s="330">
        <v>34</v>
      </c>
      <c r="AE46" s="330">
        <v>96</v>
      </c>
      <c r="AF46" s="330">
        <v>155</v>
      </c>
      <c r="AG46" s="330">
        <v>169</v>
      </c>
      <c r="AH46" s="330">
        <v>199</v>
      </c>
      <c r="AI46" s="330">
        <v>106</v>
      </c>
      <c r="AJ46" s="330">
        <v>106</v>
      </c>
      <c r="AK46" s="330">
        <v>52</v>
      </c>
      <c r="AL46" s="330">
        <v>34</v>
      </c>
      <c r="AM46" s="330">
        <v>23</v>
      </c>
      <c r="AN46" s="330">
        <v>24</v>
      </c>
      <c r="AO46" s="330">
        <v>28</v>
      </c>
      <c r="AP46" s="330">
        <v>60</v>
      </c>
      <c r="AQ46" s="330">
        <v>139</v>
      </c>
      <c r="AR46" s="330">
        <v>360</v>
      </c>
      <c r="AS46" s="330">
        <v>275</v>
      </c>
      <c r="AT46" s="330">
        <v>118</v>
      </c>
      <c r="AU46" s="330">
        <v>2376</v>
      </c>
    </row>
    <row customHeight="true" ht="13" r="47">
      <c r="A47" s="329"/>
      <c r="K47" s="335" t="s">
        <v>768</v>
      </c>
      <c r="L47" s="329">
        <f t="shared" si="4"/>
      </c>
      <c r="M47" s="329">
        <f t="shared" si="0"/>
      </c>
      <c r="N47" s="329">
        <f t="shared" si="1"/>
      </c>
      <c r="O47" s="330">
        <v>46</v>
      </c>
      <c r="Q47" s="330">
        <v>1</v>
      </c>
      <c r="R47" s="330">
        <v>3</v>
      </c>
      <c r="S47" s="330">
        <v>15</v>
      </c>
      <c r="T47" s="330">
        <v>63</v>
      </c>
      <c r="U47" s="330">
        <v>73</v>
      </c>
      <c r="V47" s="330">
        <v>70</v>
      </c>
      <c r="W47" s="330">
        <v>49</v>
      </c>
      <c r="X47" s="330">
        <v>34</v>
      </c>
      <c r="Y47" s="330">
        <v>21</v>
      </c>
      <c r="Z47" s="330">
        <v>18</v>
      </c>
      <c r="AA47" s="330">
        <v>5</v>
      </c>
      <c r="AB47" s="330">
        <v>6</v>
      </c>
      <c r="AC47" s="330">
        <v>20</v>
      </c>
      <c r="AD47" s="330">
        <v>32</v>
      </c>
      <c r="AE47" s="330">
        <v>95</v>
      </c>
      <c r="AF47" s="330">
        <v>153</v>
      </c>
      <c r="AG47" s="330">
        <v>164</v>
      </c>
      <c r="AH47" s="330">
        <v>180</v>
      </c>
      <c r="AI47" s="330">
        <v>105</v>
      </c>
      <c r="AJ47" s="330">
        <v>105</v>
      </c>
      <c r="AK47" s="330">
        <v>49</v>
      </c>
      <c r="AL47" s="330">
        <v>32</v>
      </c>
      <c r="AM47" s="330">
        <v>20</v>
      </c>
      <c r="AN47" s="330">
        <v>23</v>
      </c>
      <c r="AO47" s="330">
        <v>28</v>
      </c>
      <c r="AP47" s="330">
        <v>60</v>
      </c>
      <c r="AQ47" s="330">
        <v>130</v>
      </c>
      <c r="AR47" s="330">
        <v>340</v>
      </c>
      <c r="AS47" s="330">
        <v>269</v>
      </c>
      <c r="AT47" s="330">
        <v>113</v>
      </c>
      <c r="AU47" s="330">
        <v>2276</v>
      </c>
    </row>
    <row customHeight="true" ht="13" r="48">
      <c r="A48" s="329"/>
      <c r="K48" s="335" t="s">
        <v>768</v>
      </c>
      <c r="L48" s="329">
        <f t="shared" si="4"/>
      </c>
      <c r="M48" s="329">
        <f t="shared" si="0"/>
      </c>
      <c r="N48" s="329">
        <f t="shared" si="1"/>
      </c>
      <c r="O48" s="330">
        <v>47</v>
      </c>
      <c r="Q48" s="330">
        <v>1</v>
      </c>
      <c r="R48" s="330">
        <v>2</v>
      </c>
      <c r="S48" s="330">
        <v>14</v>
      </c>
      <c r="T48" s="330">
        <v>62</v>
      </c>
      <c r="U48" s="330">
        <v>70</v>
      </c>
      <c r="V48" s="330">
        <v>69</v>
      </c>
      <c r="W48" s="330">
        <v>42</v>
      </c>
      <c r="X48" s="330">
        <v>33</v>
      </c>
      <c r="Y48" s="330">
        <v>20</v>
      </c>
      <c r="Z48" s="330">
        <v>17</v>
      </c>
      <c r="AA48" s="330">
        <v>5</v>
      </c>
      <c r="AB48" s="330">
        <v>5</v>
      </c>
      <c r="AC48" s="330">
        <v>19</v>
      </c>
      <c r="AD48" s="330">
        <v>29</v>
      </c>
      <c r="AE48" s="330">
        <v>95</v>
      </c>
      <c r="AF48" s="330">
        <v>152</v>
      </c>
      <c r="AG48" s="330">
        <v>162</v>
      </c>
      <c r="AH48" s="330">
        <v>171</v>
      </c>
      <c r="AI48" s="330">
        <v>101</v>
      </c>
      <c r="AJ48" s="330">
        <v>101</v>
      </c>
      <c r="AK48" s="330">
        <v>46</v>
      </c>
      <c r="AL48" s="330">
        <v>31</v>
      </c>
      <c r="AM48" s="330">
        <v>19</v>
      </c>
      <c r="AN48" s="330">
        <v>23</v>
      </c>
      <c r="AO48" s="330">
        <v>28</v>
      </c>
      <c r="AP48" s="330">
        <v>56</v>
      </c>
      <c r="AQ48" s="330">
        <v>128</v>
      </c>
      <c r="AR48" s="330">
        <v>326</v>
      </c>
      <c r="AS48" s="330">
        <v>260</v>
      </c>
      <c r="AT48" s="330">
        <v>112</v>
      </c>
      <c r="AU48" s="330">
        <v>2199</v>
      </c>
    </row>
    <row customHeight="true" ht="13" r="49">
      <c r="A49" s="329"/>
      <c r="K49" s="335" t="s">
        <v>768</v>
      </c>
      <c r="L49" s="329">
        <f t="shared" si="4"/>
      </c>
      <c r="M49" s="329">
        <f t="shared" si="0"/>
      </c>
      <c r="N49" s="329">
        <f t="shared" si="1"/>
      </c>
      <c r="O49" s="330">
        <v>48</v>
      </c>
      <c r="Q49" s="330">
        <v>1</v>
      </c>
      <c r="R49" s="330">
        <v>2</v>
      </c>
      <c r="S49" s="330">
        <v>14</v>
      </c>
      <c r="T49" s="330">
        <v>55</v>
      </c>
      <c r="U49" s="330">
        <v>66</v>
      </c>
      <c r="V49" s="330">
        <v>69</v>
      </c>
      <c r="W49" s="330">
        <v>40</v>
      </c>
      <c r="X49" s="330">
        <v>33</v>
      </c>
      <c r="Y49" s="330">
        <v>20</v>
      </c>
      <c r="Z49" s="330">
        <v>16</v>
      </c>
      <c r="AA49" s="330">
        <v>5</v>
      </c>
      <c r="AB49" s="330">
        <v>5</v>
      </c>
      <c r="AC49" s="330">
        <v>18</v>
      </c>
      <c r="AD49" s="330">
        <v>28</v>
      </c>
      <c r="AE49" s="330">
        <v>86</v>
      </c>
      <c r="AF49" s="330">
        <v>149</v>
      </c>
      <c r="AG49" s="330">
        <v>156</v>
      </c>
      <c r="AH49" s="330">
        <v>159</v>
      </c>
      <c r="AI49" s="330">
        <v>101</v>
      </c>
      <c r="AJ49" s="330">
        <v>101</v>
      </c>
      <c r="AK49" s="330">
        <v>46</v>
      </c>
      <c r="AL49" s="330">
        <v>29</v>
      </c>
      <c r="AM49" s="330">
        <v>19</v>
      </c>
      <c r="AN49" s="330">
        <v>22</v>
      </c>
      <c r="AO49" s="330">
        <v>26</v>
      </c>
      <c r="AP49" s="330">
        <v>53</v>
      </c>
      <c r="AQ49" s="330">
        <v>125</v>
      </c>
      <c r="AR49" s="330">
        <v>321</v>
      </c>
      <c r="AS49" s="330">
        <v>256</v>
      </c>
      <c r="AT49" s="330">
        <v>108</v>
      </c>
      <c r="AU49" s="330">
        <v>2129</v>
      </c>
    </row>
    <row customHeight="true" ht="13" r="50">
      <c r="A50" s="329"/>
      <c r="K50" s="335" t="s">
        <v>768</v>
      </c>
      <c r="L50" s="329">
        <f t="shared" si="4"/>
      </c>
      <c r="M50" s="329">
        <f t="shared" si="0"/>
      </c>
      <c r="N50" s="329">
        <f t="shared" si="1"/>
      </c>
      <c r="O50" s="330">
        <v>49</v>
      </c>
      <c r="Q50" s="330">
        <v>1</v>
      </c>
      <c r="R50" s="330">
        <v>2</v>
      </c>
      <c r="S50" s="330">
        <v>13</v>
      </c>
      <c r="T50" s="330">
        <v>50</v>
      </c>
      <c r="U50" s="330">
        <v>63</v>
      </c>
      <c r="V50" s="330">
        <v>68</v>
      </c>
      <c r="W50" s="330">
        <v>40</v>
      </c>
      <c r="X50" s="330">
        <v>28</v>
      </c>
      <c r="Y50" s="330">
        <v>19</v>
      </c>
      <c r="Z50" s="330">
        <v>14</v>
      </c>
      <c r="AA50" s="330">
        <v>4</v>
      </c>
      <c r="AB50" s="330">
        <v>5</v>
      </c>
      <c r="AC50" s="330">
        <v>18</v>
      </c>
      <c r="AD50" s="330">
        <v>28</v>
      </c>
      <c r="AE50" s="330">
        <v>80</v>
      </c>
      <c r="AF50" s="330">
        <v>146</v>
      </c>
      <c r="AG50" s="330">
        <v>151</v>
      </c>
      <c r="AH50" s="330">
        <v>155</v>
      </c>
      <c r="AI50" s="330">
        <v>99</v>
      </c>
      <c r="AJ50" s="330">
        <v>99</v>
      </c>
      <c r="AK50" s="330">
        <v>42</v>
      </c>
      <c r="AL50" s="330">
        <v>28</v>
      </c>
      <c r="AM50" s="330">
        <v>17</v>
      </c>
      <c r="AN50" s="330">
        <v>19</v>
      </c>
      <c r="AO50" s="330">
        <v>24</v>
      </c>
      <c r="AP50" s="330">
        <v>52</v>
      </c>
      <c r="AQ50" s="330">
        <v>121</v>
      </c>
      <c r="AR50" s="330">
        <v>305</v>
      </c>
      <c r="AS50" s="330">
        <v>255</v>
      </c>
      <c r="AT50" s="330">
        <v>99</v>
      </c>
      <c r="AU50" s="330">
        <v>2045</v>
      </c>
    </row>
    <row customHeight="true" ht="13" r="51">
      <c r="A51" s="329"/>
      <c r="K51" s="335" t="s">
        <v>768</v>
      </c>
      <c r="L51" s="329">
        <f t="shared" si="4"/>
      </c>
      <c r="M51" s="329">
        <f t="shared" si="0"/>
      </c>
      <c r="N51" s="329">
        <f t="shared" si="1"/>
      </c>
      <c r="O51" s="330">
        <v>50</v>
      </c>
      <c r="Q51" s="330">
        <v>1</v>
      </c>
      <c r="R51" s="330">
        <v>2</v>
      </c>
      <c r="S51" s="330">
        <v>13</v>
      </c>
      <c r="T51" s="330">
        <v>50</v>
      </c>
      <c r="U51" s="330">
        <v>62</v>
      </c>
      <c r="V51" s="330">
        <v>67</v>
      </c>
      <c r="W51" s="330">
        <v>38</v>
      </c>
      <c r="X51" s="330">
        <v>28</v>
      </c>
      <c r="Y51" s="330">
        <v>19</v>
      </c>
      <c r="Z51" s="330">
        <v>14</v>
      </c>
      <c r="AA51" s="330">
        <v>4</v>
      </c>
      <c r="AB51" s="330">
        <v>4</v>
      </c>
      <c r="AC51" s="330">
        <v>18</v>
      </c>
      <c r="AD51" s="330">
        <v>27</v>
      </c>
      <c r="AE51" s="330">
        <v>80</v>
      </c>
      <c r="AF51" s="330">
        <v>138</v>
      </c>
      <c r="AG51" s="330">
        <v>135</v>
      </c>
      <c r="AH51" s="330">
        <v>155</v>
      </c>
      <c r="AI51" s="330">
        <v>97</v>
      </c>
      <c r="AJ51" s="330">
        <v>97</v>
      </c>
      <c r="AK51" s="330">
        <v>42</v>
      </c>
      <c r="AL51" s="330">
        <v>28</v>
      </c>
      <c r="AM51" s="330">
        <v>17</v>
      </c>
      <c r="AN51" s="330">
        <v>18</v>
      </c>
      <c r="AO51" s="330">
        <v>23</v>
      </c>
      <c r="AP51" s="330">
        <v>52</v>
      </c>
      <c r="AQ51" s="330">
        <v>113</v>
      </c>
      <c r="AR51" s="330">
        <v>305</v>
      </c>
      <c r="AS51" s="330">
        <v>249</v>
      </c>
      <c r="AT51" s="330">
        <v>93</v>
      </c>
      <c r="AU51" s="330">
        <v>1989</v>
      </c>
    </row>
    <row customHeight="true" ht="13" r="52">
      <c r="A52" s="329"/>
      <c r="K52" s="335" t="s">
        <v>769</v>
      </c>
      <c r="L52" s="329">
        <f t="shared" si="4"/>
      </c>
      <c r="M52" s="329">
        <f t="shared" si="0"/>
      </c>
      <c r="N52" s="329">
        <f t="shared" si="1"/>
      </c>
      <c r="O52" s="330">
        <v>51</v>
      </c>
      <c r="Q52" s="330">
        <v>1</v>
      </c>
      <c r="R52" s="330">
        <v>2</v>
      </c>
      <c r="S52" s="330">
        <v>13</v>
      </c>
      <c r="T52" s="330">
        <v>40</v>
      </c>
      <c r="U52" s="330">
        <v>61</v>
      </c>
      <c r="V52" s="330">
        <v>63</v>
      </c>
      <c r="W52" s="330">
        <v>38</v>
      </c>
      <c r="X52" s="330">
        <v>27</v>
      </c>
      <c r="Y52" s="330">
        <v>18</v>
      </c>
      <c r="Z52" s="330">
        <v>13</v>
      </c>
      <c r="AA52" s="330">
        <v>3</v>
      </c>
      <c r="AB52" s="330">
        <v>4</v>
      </c>
      <c r="AC52" s="330">
        <v>15</v>
      </c>
      <c r="AD52" s="330">
        <v>27</v>
      </c>
      <c r="AE52" s="330">
        <v>71</v>
      </c>
      <c r="AF52" s="330">
        <v>132</v>
      </c>
      <c r="AG52" s="330">
        <v>128</v>
      </c>
      <c r="AH52" s="330">
        <v>153</v>
      </c>
      <c r="AI52" s="330">
        <v>96</v>
      </c>
      <c r="AJ52" s="330">
        <v>96</v>
      </c>
      <c r="AK52" s="330">
        <v>41</v>
      </c>
      <c r="AL52" s="330">
        <v>28</v>
      </c>
      <c r="AM52" s="330">
        <v>15</v>
      </c>
      <c r="AN52" s="330">
        <v>18</v>
      </c>
      <c r="AO52" s="330">
        <v>23</v>
      </c>
      <c r="AP52" s="330">
        <v>48</v>
      </c>
      <c r="AQ52" s="330">
        <v>105</v>
      </c>
      <c r="AR52" s="330">
        <v>302</v>
      </c>
      <c r="AS52" s="330">
        <v>247</v>
      </c>
      <c r="AT52" s="330">
        <v>87</v>
      </c>
      <c r="AU52" s="330">
        <v>1915</v>
      </c>
    </row>
    <row customHeight="true" ht="13" r="53">
      <c r="A53" s="329"/>
      <c r="K53" s="335" t="s">
        <v>769</v>
      </c>
      <c r="L53" s="329">
        <f t="shared" si="4"/>
      </c>
      <c r="M53" s="329">
        <f t="shared" si="0"/>
      </c>
      <c r="N53" s="329">
        <f t="shared" si="1"/>
      </c>
      <c r="O53" s="330">
        <v>52</v>
      </c>
      <c r="Q53" s="330">
        <v>1</v>
      </c>
      <c r="R53" s="330">
        <v>2</v>
      </c>
      <c r="S53" s="330">
        <v>13</v>
      </c>
      <c r="T53" s="330">
        <v>36</v>
      </c>
      <c r="U53" s="330">
        <v>58</v>
      </c>
      <c r="V53" s="330">
        <v>62</v>
      </c>
      <c r="W53" s="330">
        <v>37</v>
      </c>
      <c r="X53" s="330">
        <v>27</v>
      </c>
      <c r="Y53" s="330">
        <v>16</v>
      </c>
      <c r="Z53" s="330">
        <v>13</v>
      </c>
      <c r="AA53" s="330">
        <v>3</v>
      </c>
      <c r="AB53" s="330">
        <v>4</v>
      </c>
      <c r="AC53" s="330">
        <v>14</v>
      </c>
      <c r="AD53" s="330">
        <v>25</v>
      </c>
      <c r="AE53" s="330">
        <v>68</v>
      </c>
      <c r="AF53" s="330">
        <v>129</v>
      </c>
      <c r="AG53" s="330">
        <v>125</v>
      </c>
      <c r="AH53" s="330">
        <v>150</v>
      </c>
      <c r="AI53" s="330">
        <v>94</v>
      </c>
      <c r="AJ53" s="330">
        <v>94</v>
      </c>
      <c r="AK53" s="330">
        <v>41</v>
      </c>
      <c r="AL53" s="330">
        <v>23</v>
      </c>
      <c r="AM53" s="330">
        <v>14</v>
      </c>
      <c r="AN53" s="330">
        <v>17</v>
      </c>
      <c r="AO53" s="330">
        <v>22</v>
      </c>
      <c r="AP53" s="330">
        <v>48</v>
      </c>
      <c r="AQ53" s="330">
        <v>94</v>
      </c>
      <c r="AR53" s="330">
        <v>281</v>
      </c>
      <c r="AS53" s="330">
        <v>237</v>
      </c>
      <c r="AT53" s="330">
        <v>83</v>
      </c>
      <c r="AU53" s="330">
        <v>1831</v>
      </c>
    </row>
    <row customHeight="true" ht="13" r="54">
      <c r="A54" s="329"/>
      <c r="K54" s="335" t="s">
        <v>769</v>
      </c>
      <c r="L54" s="329">
        <f t="shared" si="4"/>
      </c>
      <c r="M54" s="329">
        <f t="shared" si="0"/>
      </c>
      <c r="N54" s="329">
        <f t="shared" si="1"/>
      </c>
      <c r="O54" s="330">
        <v>53</v>
      </c>
      <c r="Q54" s="330">
        <v>1</v>
      </c>
      <c r="R54" s="330">
        <v>2</v>
      </c>
      <c r="S54" s="330">
        <v>12</v>
      </c>
      <c r="T54" s="330">
        <v>36</v>
      </c>
      <c r="U54" s="330">
        <v>56</v>
      </c>
      <c r="V54" s="330">
        <v>61</v>
      </c>
      <c r="W54" s="330">
        <v>37</v>
      </c>
      <c r="X54" s="330">
        <v>26</v>
      </c>
      <c r="Y54" s="330">
        <v>16</v>
      </c>
      <c r="Z54" s="330">
        <v>12</v>
      </c>
      <c r="AA54" s="330">
        <v>3</v>
      </c>
      <c r="AB54" s="330">
        <v>4</v>
      </c>
      <c r="AC54" s="330">
        <v>13</v>
      </c>
      <c r="AD54" s="330">
        <v>25</v>
      </c>
      <c r="AE54" s="330">
        <v>59</v>
      </c>
      <c r="AF54" s="330">
        <v>127</v>
      </c>
      <c r="AG54" s="330">
        <v>118</v>
      </c>
      <c r="AH54" s="330">
        <v>148</v>
      </c>
      <c r="AI54" s="330">
        <v>89</v>
      </c>
      <c r="AJ54" s="330">
        <v>89</v>
      </c>
      <c r="AK54" s="330">
        <v>39</v>
      </c>
      <c r="AL54" s="330">
        <v>19</v>
      </c>
      <c r="AM54" s="330">
        <v>10</v>
      </c>
      <c r="AN54" s="330">
        <v>14</v>
      </c>
      <c r="AO54" s="330">
        <v>19</v>
      </c>
      <c r="AP54" s="330">
        <v>47</v>
      </c>
      <c r="AQ54" s="330">
        <v>91</v>
      </c>
      <c r="AR54" s="330">
        <v>277</v>
      </c>
      <c r="AS54" s="330">
        <v>222</v>
      </c>
      <c r="AT54" s="330">
        <v>81</v>
      </c>
      <c r="AU54" s="330">
        <v>1753</v>
      </c>
    </row>
    <row customHeight="true" ht="13" r="55">
      <c r="A55" s="329"/>
      <c r="K55" s="335" t="s">
        <v>769</v>
      </c>
      <c r="L55" s="329">
        <f t="shared" si="4"/>
      </c>
      <c r="M55" s="329">
        <f t="shared" si="0"/>
      </c>
      <c r="N55" s="329">
        <f t="shared" si="1"/>
      </c>
      <c r="O55" s="330">
        <v>54</v>
      </c>
      <c r="Q55" s="330">
        <v>1</v>
      </c>
      <c r="R55" s="330">
        <v>2</v>
      </c>
      <c r="S55" s="330">
        <v>11</v>
      </c>
      <c r="T55" s="330">
        <v>35</v>
      </c>
      <c r="U55" s="330">
        <v>56</v>
      </c>
      <c r="V55" s="330">
        <v>59</v>
      </c>
      <c r="W55" s="330">
        <v>37</v>
      </c>
      <c r="X55" s="330">
        <v>25</v>
      </c>
      <c r="Y55" s="330">
        <v>16</v>
      </c>
      <c r="Z55" s="330">
        <v>11</v>
      </c>
      <c r="AA55" s="330">
        <v>3</v>
      </c>
      <c r="AB55" s="330">
        <v>4</v>
      </c>
      <c r="AC55" s="330">
        <v>12</v>
      </c>
      <c r="AD55" s="330">
        <v>24</v>
      </c>
      <c r="AE55" s="330">
        <v>56</v>
      </c>
      <c r="AF55" s="330">
        <v>124</v>
      </c>
      <c r="AG55" s="330">
        <v>116</v>
      </c>
      <c r="AH55" s="330">
        <v>148</v>
      </c>
      <c r="AI55" s="330">
        <v>77</v>
      </c>
      <c r="AJ55" s="330">
        <v>77</v>
      </c>
      <c r="AK55" s="330">
        <v>38</v>
      </c>
      <c r="AL55" s="330">
        <v>18</v>
      </c>
      <c r="AM55" s="330">
        <v>7</v>
      </c>
      <c r="AN55" s="330">
        <v>13</v>
      </c>
      <c r="AO55" s="330">
        <v>16</v>
      </c>
      <c r="AP55" s="330">
        <v>44</v>
      </c>
      <c r="AQ55" s="330">
        <v>86</v>
      </c>
      <c r="AR55" s="330">
        <v>275</v>
      </c>
      <c r="AS55" s="330">
        <v>217</v>
      </c>
      <c r="AT55" s="330">
        <v>78</v>
      </c>
      <c r="AU55" s="330">
        <v>1686</v>
      </c>
    </row>
    <row customHeight="true" ht="13" r="56">
      <c r="A56" s="329"/>
      <c r="K56" s="335" t="s">
        <v>769</v>
      </c>
      <c r="L56" s="329">
        <f t="shared" si="4"/>
      </c>
      <c r="M56" s="329">
        <f t="shared" si="0"/>
      </c>
      <c r="N56" s="329">
        <f t="shared" si="1"/>
      </c>
      <c r="O56" s="330">
        <v>55</v>
      </c>
      <c r="Q56" s="330">
        <v>1</v>
      </c>
      <c r="R56" s="330">
        <v>2</v>
      </c>
      <c r="S56" s="330">
        <v>11</v>
      </c>
      <c r="T56" s="330">
        <v>35</v>
      </c>
      <c r="U56" s="330">
        <v>53</v>
      </c>
      <c r="V56" s="330">
        <v>59</v>
      </c>
      <c r="W56" s="330">
        <v>35</v>
      </c>
      <c r="X56" s="330">
        <v>25</v>
      </c>
      <c r="Y56" s="330">
        <v>15</v>
      </c>
      <c r="Z56" s="330">
        <v>11</v>
      </c>
      <c r="AA56" s="330">
        <v>3</v>
      </c>
      <c r="AB56" s="330">
        <v>3</v>
      </c>
      <c r="AC56" s="330">
        <v>12</v>
      </c>
      <c r="AD56" s="330">
        <v>22</v>
      </c>
      <c r="AE56" s="330">
        <v>55</v>
      </c>
      <c r="AF56" s="330">
        <v>121</v>
      </c>
      <c r="AG56" s="330">
        <v>112</v>
      </c>
      <c r="AH56" s="330">
        <v>145</v>
      </c>
      <c r="AI56" s="330">
        <v>75</v>
      </c>
      <c r="AJ56" s="330">
        <v>75</v>
      </c>
      <c r="AK56" s="330">
        <v>37</v>
      </c>
      <c r="AL56" s="330">
        <v>11</v>
      </c>
      <c r="AM56" s="330">
        <v>6</v>
      </c>
      <c r="AN56" s="330">
        <v>10</v>
      </c>
      <c r="AO56" s="330">
        <v>15</v>
      </c>
      <c r="AP56" s="330">
        <v>43</v>
      </c>
      <c r="AQ56" s="330">
        <v>80</v>
      </c>
      <c r="AR56" s="330">
        <v>271</v>
      </c>
      <c r="AS56" s="330">
        <v>215</v>
      </c>
      <c r="AT56" s="330">
        <v>76</v>
      </c>
      <c r="AU56" s="330">
        <v>1634</v>
      </c>
    </row>
    <row customHeight="true" ht="13" r="57">
      <c r="A57" s="329"/>
      <c r="K57" s="335" t="s">
        <v>769</v>
      </c>
      <c r="L57" s="329">
        <f t="shared" si="4"/>
      </c>
      <c r="M57" s="329">
        <f t="shared" si="0"/>
      </c>
      <c r="N57" s="329">
        <f t="shared" si="1"/>
      </c>
      <c r="O57" s="330">
        <v>56</v>
      </c>
      <c r="Q57" s="330">
        <v>1</v>
      </c>
      <c r="R57" s="330">
        <v>1</v>
      </c>
      <c r="S57" s="330">
        <v>10</v>
      </c>
      <c r="T57" s="330">
        <v>34</v>
      </c>
      <c r="U57" s="330">
        <v>50</v>
      </c>
      <c r="V57" s="330">
        <v>58</v>
      </c>
      <c r="W57" s="330">
        <v>35</v>
      </c>
      <c r="X57" s="330">
        <v>25</v>
      </c>
      <c r="Y57" s="330">
        <v>15</v>
      </c>
      <c r="Z57" s="330">
        <v>9</v>
      </c>
      <c r="AA57" s="330">
        <v>2</v>
      </c>
      <c r="AB57" s="330">
        <v>3</v>
      </c>
      <c r="AC57" s="330">
        <v>11</v>
      </c>
      <c r="AD57" s="330">
        <v>22</v>
      </c>
      <c r="AE57" s="330">
        <v>55</v>
      </c>
      <c r="AF57" s="330">
        <v>111</v>
      </c>
      <c r="AG57" s="330">
        <v>107</v>
      </c>
      <c r="AH57" s="330">
        <v>142</v>
      </c>
      <c r="AI57" s="330">
        <v>73</v>
      </c>
      <c r="AJ57" s="330">
        <v>73</v>
      </c>
      <c r="AK57" s="330">
        <v>37</v>
      </c>
      <c r="AL57" s="330">
        <v>9</v>
      </c>
      <c r="AM57" s="330">
        <v>5</v>
      </c>
      <c r="AN57" s="330">
        <v>10</v>
      </c>
      <c r="AO57" s="330">
        <v>15</v>
      </c>
      <c r="AP57" s="330">
        <v>42</v>
      </c>
      <c r="AQ57" s="330">
        <v>76</v>
      </c>
      <c r="AR57" s="330">
        <v>237</v>
      </c>
      <c r="AS57" s="330">
        <v>210</v>
      </c>
      <c r="AT57" s="330">
        <v>76</v>
      </c>
      <c r="AU57" s="330">
        <v>1554</v>
      </c>
    </row>
    <row customHeight="true" ht="13" r="58">
      <c r="A58" s="329"/>
      <c r="K58" s="335" t="s">
        <v>769</v>
      </c>
      <c r="L58" s="329">
        <f t="shared" si="4"/>
      </c>
      <c r="M58" s="329">
        <f t="shared" si="0"/>
      </c>
      <c r="N58" s="329">
        <f t="shared" si="1"/>
      </c>
      <c r="O58" s="330">
        <v>57</v>
      </c>
      <c r="Q58" s="330">
        <v>1</v>
      </c>
      <c r="R58" s="330">
        <v>1</v>
      </c>
      <c r="S58" s="330">
        <v>9</v>
      </c>
      <c r="T58" s="330">
        <v>33</v>
      </c>
      <c r="U58" s="330">
        <v>50</v>
      </c>
      <c r="V58" s="330">
        <v>56</v>
      </c>
      <c r="W58" s="330">
        <v>35</v>
      </c>
      <c r="X58" s="330">
        <v>24</v>
      </c>
      <c r="Y58" s="330">
        <v>14</v>
      </c>
      <c r="Z58" s="330">
        <v>9</v>
      </c>
      <c r="AA58" s="330">
        <v>2</v>
      </c>
      <c r="AB58" s="330">
        <v>3</v>
      </c>
      <c r="AC58" s="330">
        <v>10</v>
      </c>
      <c r="AD58" s="330">
        <v>20</v>
      </c>
      <c r="AE58" s="330">
        <v>53</v>
      </c>
      <c r="AF58" s="330">
        <v>107</v>
      </c>
      <c r="AG58" s="330">
        <v>106</v>
      </c>
      <c r="AH58" s="330">
        <v>140</v>
      </c>
      <c r="AI58" s="330">
        <v>62</v>
      </c>
      <c r="AJ58" s="330">
        <v>62</v>
      </c>
      <c r="AK58" s="330">
        <v>36</v>
      </c>
      <c r="AL58" s="330">
        <v>8</v>
      </c>
      <c r="AM58" s="330">
        <v>4</v>
      </c>
      <c r="AN58" s="330">
        <v>10</v>
      </c>
      <c r="AO58" s="330">
        <v>14</v>
      </c>
      <c r="AP58" s="330">
        <v>42</v>
      </c>
      <c r="AQ58" s="330">
        <v>67</v>
      </c>
      <c r="AR58" s="330">
        <v>231</v>
      </c>
      <c r="AS58" s="330">
        <v>206</v>
      </c>
      <c r="AT58" s="330">
        <v>76</v>
      </c>
      <c r="AU58" s="330">
        <v>1491</v>
      </c>
    </row>
    <row customHeight="true" ht="13" r="59">
      <c r="A59" s="329"/>
      <c r="K59" s="335" t="s">
        <v>769</v>
      </c>
      <c r="L59" s="329">
        <f t="shared" si="4"/>
      </c>
      <c r="M59" s="329">
        <f t="shared" si="0"/>
      </c>
      <c r="N59" s="329">
        <f t="shared" si="1"/>
      </c>
      <c r="O59" s="330">
        <v>58</v>
      </c>
      <c r="Q59" s="330">
        <v>1</v>
      </c>
      <c r="R59" s="330">
        <v>1</v>
      </c>
      <c r="S59" s="330">
        <v>8</v>
      </c>
      <c r="T59" s="330">
        <v>32</v>
      </c>
      <c r="U59" s="330">
        <v>48</v>
      </c>
      <c r="V59" s="330">
        <v>53</v>
      </c>
      <c r="W59" s="330">
        <v>34</v>
      </c>
      <c r="X59" s="330">
        <v>24</v>
      </c>
      <c r="Y59" s="330">
        <v>14</v>
      </c>
      <c r="Z59" s="330">
        <v>9</v>
      </c>
      <c r="AA59" s="330">
        <v>2</v>
      </c>
      <c r="AB59" s="330">
        <v>3</v>
      </c>
      <c r="AC59" s="330">
        <v>10</v>
      </c>
      <c r="AD59" s="330">
        <v>20</v>
      </c>
      <c r="AE59" s="330">
        <v>50</v>
      </c>
      <c r="AF59" s="330">
        <v>107</v>
      </c>
      <c r="AG59" s="330">
        <v>104</v>
      </c>
      <c r="AH59" s="330">
        <v>140</v>
      </c>
      <c r="AI59" s="330">
        <v>61</v>
      </c>
      <c r="AJ59" s="330">
        <v>61</v>
      </c>
      <c r="AK59" s="330">
        <v>36</v>
      </c>
      <c r="AL59" s="330">
        <v>7</v>
      </c>
      <c r="AM59" s="330">
        <v>4</v>
      </c>
      <c r="AN59" s="330">
        <v>8</v>
      </c>
      <c r="AO59" s="330">
        <v>14</v>
      </c>
      <c r="AP59" s="330">
        <v>39</v>
      </c>
      <c r="AQ59" s="330">
        <v>65</v>
      </c>
      <c r="AR59" s="330">
        <v>220</v>
      </c>
      <c r="AS59" s="330">
        <v>202</v>
      </c>
      <c r="AT59" s="330">
        <v>72</v>
      </c>
      <c r="AU59" s="330">
        <v>1449</v>
      </c>
    </row>
    <row customHeight="true" ht="13" r="60">
      <c r="A60" s="329"/>
      <c r="K60" s="335" t="s">
        <v>769</v>
      </c>
      <c r="L60" s="329">
        <f t="shared" si="4"/>
      </c>
      <c r="M60" s="329">
        <f t="shared" si="0"/>
      </c>
      <c r="N60" s="329">
        <f t="shared" si="1"/>
      </c>
      <c r="O60" s="330">
        <v>59</v>
      </c>
      <c r="Q60" s="330">
        <v>1</v>
      </c>
      <c r="R60" s="330">
        <v>1</v>
      </c>
      <c r="S60" s="330">
        <v>8</v>
      </c>
      <c r="T60" s="330">
        <v>28</v>
      </c>
      <c r="U60" s="330">
        <v>47</v>
      </c>
      <c r="V60" s="330">
        <v>50</v>
      </c>
      <c r="W60" s="330">
        <v>33</v>
      </c>
      <c r="X60" s="330">
        <v>23</v>
      </c>
      <c r="Y60" s="330">
        <v>14</v>
      </c>
      <c r="Z60" s="330">
        <v>9</v>
      </c>
      <c r="AA60" s="330">
        <v>2</v>
      </c>
      <c r="AB60" s="330">
        <v>3</v>
      </c>
      <c r="AC60" s="330">
        <v>9</v>
      </c>
      <c r="AD60" s="330">
        <v>19</v>
      </c>
      <c r="AE60" s="330">
        <v>49</v>
      </c>
      <c r="AF60" s="330">
        <v>105</v>
      </c>
      <c r="AG60" s="330">
        <v>103</v>
      </c>
      <c r="AH60" s="330">
        <v>135</v>
      </c>
      <c r="AI60" s="330">
        <v>60</v>
      </c>
      <c r="AJ60" s="330">
        <v>60</v>
      </c>
      <c r="AK60" s="330">
        <v>35</v>
      </c>
      <c r="AL60" s="330">
        <v>7</v>
      </c>
      <c r="AM60" s="330">
        <v>3</v>
      </c>
      <c r="AN60" s="330">
        <v>7</v>
      </c>
      <c r="AO60" s="330">
        <v>10</v>
      </c>
      <c r="AP60" s="330">
        <v>37</v>
      </c>
      <c r="AQ60" s="330">
        <v>63</v>
      </c>
      <c r="AR60" s="330">
        <v>214</v>
      </c>
      <c r="AS60" s="330">
        <v>202</v>
      </c>
      <c r="AT60" s="330">
        <v>72</v>
      </c>
      <c r="AU60" s="330">
        <v>1409</v>
      </c>
    </row>
    <row customHeight="true" ht="13" r="61">
      <c r="A61" s="329"/>
      <c r="K61" s="335" t="s">
        <v>769</v>
      </c>
      <c r="L61" s="329">
        <f t="shared" si="4"/>
      </c>
      <c r="M61" s="329">
        <f t="shared" si="0"/>
      </c>
      <c r="N61" s="329">
        <f t="shared" si="1"/>
      </c>
      <c r="O61" s="330">
        <v>60</v>
      </c>
      <c r="Q61" s="330">
        <v>1</v>
      </c>
      <c r="R61" s="330">
        <v>1</v>
      </c>
      <c r="S61" s="330">
        <v>7</v>
      </c>
      <c r="T61" s="330">
        <v>23</v>
      </c>
      <c r="U61" s="330">
        <v>44</v>
      </c>
      <c r="V61" s="330">
        <v>49</v>
      </c>
      <c r="W61" s="330">
        <v>31</v>
      </c>
      <c r="X61" s="330">
        <v>22</v>
      </c>
      <c r="Y61" s="330">
        <v>13</v>
      </c>
      <c r="Z61" s="330">
        <v>9</v>
      </c>
      <c r="AA61" s="330">
        <v>2</v>
      </c>
      <c r="AB61" s="330">
        <v>3</v>
      </c>
      <c r="AC61" s="330">
        <v>9</v>
      </c>
      <c r="AD61" s="330">
        <v>16</v>
      </c>
      <c r="AE61" s="330">
        <v>49</v>
      </c>
      <c r="AF61" s="330">
        <v>102</v>
      </c>
      <c r="AG61" s="330">
        <v>96</v>
      </c>
      <c r="AH61" s="330">
        <v>108</v>
      </c>
      <c r="AI61" s="330">
        <v>57</v>
      </c>
      <c r="AJ61" s="330">
        <v>57</v>
      </c>
      <c r="AK61" s="330">
        <v>33</v>
      </c>
      <c r="AL61" s="330">
        <v>7</v>
      </c>
      <c r="AM61" s="330">
        <v>3</v>
      </c>
      <c r="AN61" s="330">
        <v>6</v>
      </c>
      <c r="AO61" s="330">
        <v>10</v>
      </c>
      <c r="AP61" s="330">
        <v>36</v>
      </c>
      <c r="AQ61" s="330">
        <v>62</v>
      </c>
      <c r="AR61" s="330">
        <v>204</v>
      </c>
      <c r="AS61" s="330">
        <v>201</v>
      </c>
      <c r="AT61" s="330">
        <v>71</v>
      </c>
      <c r="AU61" s="330">
        <v>1332</v>
      </c>
    </row>
    <row customHeight="true" ht="13" r="62">
      <c r="A62" s="329"/>
      <c r="K62" s="335" t="s">
        <v>769</v>
      </c>
      <c r="L62" s="329">
        <f t="shared" si="4"/>
      </c>
      <c r="M62" s="329">
        <f t="shared" si="0"/>
      </c>
      <c r="N62" s="329">
        <f t="shared" si="1"/>
      </c>
      <c r="O62" s="330">
        <v>61</v>
      </c>
      <c r="Q62" s="330">
        <v>1</v>
      </c>
      <c r="R62" s="330">
        <v>1</v>
      </c>
      <c r="S62" s="330">
        <v>6</v>
      </c>
      <c r="T62" s="330">
        <v>22</v>
      </c>
      <c r="U62" s="330">
        <v>43</v>
      </c>
      <c r="V62" s="330">
        <v>41</v>
      </c>
      <c r="W62" s="330">
        <v>31</v>
      </c>
      <c r="X62" s="330">
        <v>22</v>
      </c>
      <c r="Y62" s="330">
        <v>13</v>
      </c>
      <c r="Z62" s="330">
        <v>9</v>
      </c>
      <c r="AA62" s="330">
        <v>2</v>
      </c>
      <c r="AB62" s="330">
        <v>3</v>
      </c>
      <c r="AC62" s="330">
        <v>9</v>
      </c>
      <c r="AD62" s="330">
        <v>16</v>
      </c>
      <c r="AE62" s="330">
        <v>45</v>
      </c>
      <c r="AF62" s="330">
        <v>100</v>
      </c>
      <c r="AG62" s="330">
        <v>93</v>
      </c>
      <c r="AH62" s="330">
        <v>106</v>
      </c>
      <c r="AI62" s="330">
        <v>55</v>
      </c>
      <c r="AJ62" s="330">
        <v>55</v>
      </c>
      <c r="AK62" s="330">
        <v>33</v>
      </c>
      <c r="AL62" s="330">
        <v>6</v>
      </c>
      <c r="AM62" s="330">
        <v>3</v>
      </c>
      <c r="AN62" s="330">
        <v>6</v>
      </c>
      <c r="AO62" s="330">
        <v>10</v>
      </c>
      <c r="AP62" s="330">
        <v>35</v>
      </c>
      <c r="AQ62" s="330">
        <v>59</v>
      </c>
      <c r="AR62" s="330">
        <v>200</v>
      </c>
      <c r="AS62" s="330">
        <v>199</v>
      </c>
      <c r="AT62" s="330">
        <v>67</v>
      </c>
      <c r="AU62" s="330">
        <v>1291</v>
      </c>
    </row>
    <row customHeight="true" ht="13" r="63">
      <c r="A63" s="329"/>
      <c r="K63" s="335" t="s">
        <v>769</v>
      </c>
      <c r="L63" s="329">
        <f t="shared" si="4"/>
      </c>
      <c r="M63" s="329">
        <f t="shared" si="0"/>
      </c>
      <c r="N63" s="329">
        <f t="shared" si="1"/>
      </c>
      <c r="O63" s="330">
        <v>62</v>
      </c>
      <c r="Q63" s="330">
        <v>1</v>
      </c>
      <c r="R63" s="330">
        <v>1</v>
      </c>
      <c r="S63" s="330">
        <v>6</v>
      </c>
      <c r="T63" s="330">
        <v>22</v>
      </c>
      <c r="U63" s="330">
        <v>38</v>
      </c>
      <c r="V63" s="330">
        <v>39</v>
      </c>
      <c r="W63" s="330">
        <v>30</v>
      </c>
      <c r="X63" s="330">
        <v>21</v>
      </c>
      <c r="Y63" s="330">
        <v>13</v>
      </c>
      <c r="Z63" s="330">
        <v>8</v>
      </c>
      <c r="AA63" s="330">
        <v>2</v>
      </c>
      <c r="AB63" s="330">
        <v>2</v>
      </c>
      <c r="AC63" s="330">
        <v>8</v>
      </c>
      <c r="AD63" s="330">
        <v>15</v>
      </c>
      <c r="AE63" s="330">
        <v>43</v>
      </c>
      <c r="AF63" s="330">
        <v>99</v>
      </c>
      <c r="AG63" s="330">
        <v>92</v>
      </c>
      <c r="AH63" s="330">
        <v>98</v>
      </c>
      <c r="AI63" s="330">
        <v>50</v>
      </c>
      <c r="AJ63" s="330">
        <v>50</v>
      </c>
      <c r="AK63" s="330">
        <v>32</v>
      </c>
      <c r="AL63" s="330">
        <v>6</v>
      </c>
      <c r="AM63" s="330">
        <v>3</v>
      </c>
      <c r="AN63" s="330">
        <v>5</v>
      </c>
      <c r="AO63" s="330">
        <v>6</v>
      </c>
      <c r="AP63" s="330">
        <v>32</v>
      </c>
      <c r="AQ63" s="330">
        <v>56</v>
      </c>
      <c r="AR63" s="330">
        <v>200</v>
      </c>
      <c r="AS63" s="330">
        <v>189</v>
      </c>
      <c r="AT63" s="330">
        <v>67</v>
      </c>
      <c r="AU63" s="330">
        <v>1234</v>
      </c>
    </row>
    <row customHeight="true" ht="13" r="64">
      <c r="A64" s="329"/>
      <c r="K64" s="335" t="s">
        <v>769</v>
      </c>
      <c r="L64" s="329">
        <f t="shared" si="4"/>
      </c>
      <c r="M64" s="329">
        <f t="shared" si="0"/>
      </c>
      <c r="N64" s="329">
        <f t="shared" si="1"/>
      </c>
      <c r="O64" s="330">
        <v>63</v>
      </c>
      <c r="Q64" s="330">
        <v>1</v>
      </c>
      <c r="R64" s="330">
        <v>0</v>
      </c>
      <c r="S64" s="330">
        <v>6</v>
      </c>
      <c r="T64" s="330">
        <v>21</v>
      </c>
      <c r="U64" s="330">
        <v>37</v>
      </c>
      <c r="V64" s="330">
        <v>38</v>
      </c>
      <c r="W64" s="330">
        <v>29</v>
      </c>
      <c r="X64" s="330">
        <v>20</v>
      </c>
      <c r="Y64" s="330">
        <v>12</v>
      </c>
      <c r="Z64" s="330">
        <v>8</v>
      </c>
      <c r="AA64" s="330">
        <v>1</v>
      </c>
      <c r="AB64" s="330">
        <v>2</v>
      </c>
      <c r="AC64" s="330">
        <v>7</v>
      </c>
      <c r="AD64" s="330">
        <v>15</v>
      </c>
      <c r="AE64" s="330">
        <v>41</v>
      </c>
      <c r="AF64" s="330">
        <v>97</v>
      </c>
      <c r="AG64" s="330">
        <v>83</v>
      </c>
      <c r="AH64" s="330">
        <v>91</v>
      </c>
      <c r="AI64" s="330">
        <v>47</v>
      </c>
      <c r="AJ64" s="330">
        <v>47</v>
      </c>
      <c r="AK64" s="330">
        <v>32</v>
      </c>
      <c r="AL64" s="330">
        <v>6</v>
      </c>
      <c r="AM64" s="330">
        <v>2</v>
      </c>
      <c r="AN64" s="330">
        <v>5</v>
      </c>
      <c r="AO64" s="330">
        <v>6</v>
      </c>
      <c r="AP64" s="330">
        <v>32</v>
      </c>
      <c r="AQ64" s="330">
        <v>53</v>
      </c>
      <c r="AR64" s="330">
        <v>195</v>
      </c>
      <c r="AS64" s="330">
        <v>189</v>
      </c>
      <c r="AT64" s="330">
        <v>66</v>
      </c>
      <c r="AU64" s="330">
        <v>1189</v>
      </c>
    </row>
    <row customHeight="true" ht="13" r="65">
      <c r="A65" s="329"/>
      <c r="K65" s="335" t="s">
        <v>769</v>
      </c>
      <c r="L65" s="329">
        <f t="shared" si="4"/>
      </c>
      <c r="M65" s="329">
        <f t="shared" si="0"/>
      </c>
      <c r="N65" s="329">
        <f t="shared" si="1"/>
      </c>
      <c r="O65" s="330">
        <v>64</v>
      </c>
      <c r="Q65" s="330">
        <v>1</v>
      </c>
      <c r="R65" s="330">
        <v>0</v>
      </c>
      <c r="S65" s="330">
        <v>6</v>
      </c>
      <c r="T65" s="330">
        <v>19</v>
      </c>
      <c r="U65" s="330">
        <v>35</v>
      </c>
      <c r="V65" s="330">
        <v>38</v>
      </c>
      <c r="W65" s="330">
        <v>28</v>
      </c>
      <c r="X65" s="330">
        <v>20</v>
      </c>
      <c r="Y65" s="330">
        <v>12</v>
      </c>
      <c r="Z65" s="330">
        <v>8</v>
      </c>
      <c r="AA65" s="330">
        <v>1</v>
      </c>
      <c r="AB65" s="330">
        <v>2</v>
      </c>
      <c r="AC65" s="330">
        <v>6</v>
      </c>
      <c r="AD65" s="330">
        <v>13</v>
      </c>
      <c r="AE65" s="330">
        <v>37</v>
      </c>
      <c r="AF65" s="330">
        <v>96</v>
      </c>
      <c r="AG65" s="330">
        <v>82</v>
      </c>
      <c r="AH65" s="330">
        <v>89</v>
      </c>
      <c r="AI65" s="330">
        <v>45</v>
      </c>
      <c r="AJ65" s="330">
        <v>45</v>
      </c>
      <c r="AK65" s="330">
        <v>29</v>
      </c>
      <c r="AL65" s="330">
        <v>5</v>
      </c>
      <c r="AM65" s="330">
        <v>1</v>
      </c>
      <c r="AN65" s="330">
        <v>4</v>
      </c>
      <c r="AO65" s="330">
        <v>5</v>
      </c>
      <c r="AP65" s="330">
        <v>29</v>
      </c>
      <c r="AQ65" s="330">
        <v>46</v>
      </c>
      <c r="AR65" s="330">
        <v>192</v>
      </c>
      <c r="AS65" s="330">
        <v>184</v>
      </c>
      <c r="AT65" s="330">
        <v>64</v>
      </c>
      <c r="AU65" s="330">
        <v>1142</v>
      </c>
    </row>
    <row customHeight="true" ht="13" r="66">
      <c r="A66" s="329"/>
      <c r="K66" s="335" t="s">
        <v>769</v>
      </c>
      <c r="L66" s="329">
        <f t="shared" si="4"/>
      </c>
      <c r="M66" s="329">
        <f t="shared" si="0"/>
      </c>
      <c r="N66" s="329">
        <f t="shared" si="1"/>
      </c>
      <c r="O66" s="330">
        <v>65</v>
      </c>
      <c r="Q66" s="330">
        <v>1</v>
      </c>
      <c r="R66" s="330">
        <v>0</v>
      </c>
      <c r="S66" s="330">
        <v>5</v>
      </c>
      <c r="T66" s="330">
        <v>18</v>
      </c>
      <c r="U66" s="330">
        <v>34</v>
      </c>
      <c r="V66" s="330">
        <v>37</v>
      </c>
      <c r="W66" s="330">
        <v>27</v>
      </c>
      <c r="X66" s="330">
        <v>20</v>
      </c>
      <c r="Y66" s="330">
        <v>11</v>
      </c>
      <c r="Z66" s="330">
        <v>7</v>
      </c>
      <c r="AA66" s="330">
        <v>1</v>
      </c>
      <c r="AB66" s="330">
        <v>2</v>
      </c>
      <c r="AC66" s="330">
        <v>6</v>
      </c>
      <c r="AD66" s="330">
        <v>11</v>
      </c>
      <c r="AE66" s="330">
        <v>36</v>
      </c>
      <c r="AF66" s="330">
        <v>84</v>
      </c>
      <c r="AG66" s="330">
        <v>81</v>
      </c>
      <c r="AH66" s="330">
        <v>89</v>
      </c>
      <c r="AI66" s="330">
        <v>44</v>
      </c>
      <c r="AJ66" s="330">
        <v>44</v>
      </c>
      <c r="AK66" s="330">
        <v>29</v>
      </c>
      <c r="AL66" s="330">
        <v>5</v>
      </c>
      <c r="AM66" s="330">
        <v>1</v>
      </c>
      <c r="AN66" s="330">
        <v>4</v>
      </c>
      <c r="AO66" s="330">
        <v>4</v>
      </c>
      <c r="AP66" s="330">
        <v>26</v>
      </c>
      <c r="AQ66" s="330">
        <v>44</v>
      </c>
      <c r="AR66" s="330">
        <v>159</v>
      </c>
      <c r="AS66" s="330">
        <v>184</v>
      </c>
      <c r="AT66" s="330">
        <v>62</v>
      </c>
      <c r="AU66" s="330">
        <v>1076</v>
      </c>
    </row>
    <row customHeight="true" ht="13" r="67">
      <c r="A67" s="329"/>
      <c r="K67" s="335" t="s">
        <v>769</v>
      </c>
      <c r="L67" s="329">
        <f t="shared" si="4"/>
      </c>
      <c r="M67" s="329">
        <f t="shared" si="0"/>
      </c>
      <c r="N67" s="329">
        <f t="shared" si="1"/>
      </c>
      <c r="O67" s="330">
        <v>66</v>
      </c>
      <c r="Q67" s="330">
        <v>1</v>
      </c>
      <c r="R67" s="330">
        <v>0</v>
      </c>
      <c r="S67" s="330">
        <v>5</v>
      </c>
      <c r="T67" s="330">
        <v>16</v>
      </c>
      <c r="U67" s="330">
        <v>34</v>
      </c>
      <c r="V67" s="330">
        <v>37</v>
      </c>
      <c r="W67" s="330">
        <v>27</v>
      </c>
      <c r="X67" s="330">
        <v>20</v>
      </c>
      <c r="Y67" s="330">
        <v>10</v>
      </c>
      <c r="Z67" s="330">
        <v>7</v>
      </c>
      <c r="AA67" s="330">
        <v>1</v>
      </c>
      <c r="AB67" s="330">
        <v>2</v>
      </c>
      <c r="AC67" s="330">
        <v>6</v>
      </c>
      <c r="AD67" s="330">
        <v>11</v>
      </c>
      <c r="AE67" s="330">
        <v>30</v>
      </c>
      <c r="AF67" s="330">
        <v>83</v>
      </c>
      <c r="AG67" s="330">
        <v>76</v>
      </c>
      <c r="AH67" s="330">
        <v>89</v>
      </c>
      <c r="AI67" s="330">
        <v>41</v>
      </c>
      <c r="AJ67" s="330">
        <v>41</v>
      </c>
      <c r="AK67" s="330">
        <v>28</v>
      </c>
      <c r="AL67" s="330">
        <v>5</v>
      </c>
      <c r="AM67" s="330">
        <v>1</v>
      </c>
      <c r="AN67" s="330">
        <v>3</v>
      </c>
      <c r="AO67" s="330">
        <v>4</v>
      </c>
      <c r="AP67" s="330">
        <v>26</v>
      </c>
      <c r="AQ67" s="330">
        <v>44</v>
      </c>
      <c r="AR67" s="330">
        <v>153</v>
      </c>
      <c r="AS67" s="330">
        <v>184</v>
      </c>
      <c r="AT67" s="330">
        <v>60</v>
      </c>
      <c r="AU67" s="330">
        <v>1045</v>
      </c>
    </row>
    <row customHeight="true" ht="13" r="68">
      <c r="A68" s="329"/>
      <c r="K68" s="335" t="s">
        <v>769</v>
      </c>
      <c r="L68" s="329">
        <f t="shared" si="4"/>
      </c>
      <c r="M68" s="329">
        <f t="shared" si="0"/>
      </c>
      <c r="N68" s="329">
        <f t="shared" si="1"/>
      </c>
      <c r="O68" s="330">
        <v>67</v>
      </c>
      <c r="Q68" s="330">
        <v>1</v>
      </c>
      <c r="R68" s="330">
        <v>0</v>
      </c>
      <c r="S68" s="330">
        <v>5</v>
      </c>
      <c r="T68" s="330">
        <v>15</v>
      </c>
      <c r="U68" s="330">
        <v>30</v>
      </c>
      <c r="V68" s="330">
        <v>35</v>
      </c>
      <c r="W68" s="330">
        <v>26</v>
      </c>
      <c r="X68" s="330">
        <v>19</v>
      </c>
      <c r="Y68" s="330">
        <v>9</v>
      </c>
      <c r="Z68" s="330">
        <v>7</v>
      </c>
      <c r="AA68" s="330">
        <v>1</v>
      </c>
      <c r="AB68" s="330">
        <v>2</v>
      </c>
      <c r="AC68" s="330">
        <v>6</v>
      </c>
      <c r="AD68" s="330">
        <v>11</v>
      </c>
      <c r="AE68" s="330">
        <v>28</v>
      </c>
      <c r="AF68" s="330">
        <v>82</v>
      </c>
      <c r="AG68" s="330">
        <v>73</v>
      </c>
      <c r="AH68" s="330">
        <v>80</v>
      </c>
      <c r="AI68" s="330">
        <v>41</v>
      </c>
      <c r="AJ68" s="330">
        <v>41</v>
      </c>
      <c r="AK68" s="330">
        <v>28</v>
      </c>
      <c r="AL68" s="330">
        <v>5</v>
      </c>
      <c r="AM68" s="330">
        <v>1</v>
      </c>
      <c r="AN68" s="330">
        <v>2</v>
      </c>
      <c r="AO68" s="330">
        <v>3</v>
      </c>
      <c r="AP68" s="330">
        <v>26</v>
      </c>
      <c r="AQ68" s="330">
        <v>42</v>
      </c>
      <c r="AR68" s="330">
        <v>153</v>
      </c>
      <c r="AS68" s="330">
        <v>184</v>
      </c>
      <c r="AT68" s="330">
        <v>57</v>
      </c>
      <c r="AU68" s="330">
        <v>1013</v>
      </c>
    </row>
    <row customHeight="true" ht="13" r="69">
      <c r="A69" s="329"/>
      <c r="K69" s="335" t="s">
        <v>769</v>
      </c>
      <c r="L69" s="329">
        <f t="shared" si="4"/>
      </c>
      <c r="M69" s="329">
        <f t="shared" si="0"/>
      </c>
      <c r="N69" s="329">
        <f t="shared" si="1"/>
      </c>
      <c r="O69" s="330">
        <v>68</v>
      </c>
      <c r="Q69" s="330">
        <v>1</v>
      </c>
      <c r="R69" s="330">
        <v>0</v>
      </c>
      <c r="S69" s="330">
        <v>5</v>
      </c>
      <c r="T69" s="330">
        <v>14</v>
      </c>
      <c r="U69" s="330">
        <v>29</v>
      </c>
      <c r="V69" s="330">
        <v>35</v>
      </c>
      <c r="W69" s="330">
        <v>26</v>
      </c>
      <c r="X69" s="330">
        <v>19</v>
      </c>
      <c r="Y69" s="330">
        <v>9</v>
      </c>
      <c r="Z69" s="330">
        <v>7</v>
      </c>
      <c r="AA69" s="330">
        <v>1</v>
      </c>
      <c r="AB69" s="330">
        <v>2</v>
      </c>
      <c r="AC69" s="330">
        <v>6</v>
      </c>
      <c r="AD69" s="330">
        <v>9</v>
      </c>
      <c r="AE69" s="330">
        <v>27</v>
      </c>
      <c r="AF69" s="330">
        <v>80</v>
      </c>
      <c r="AG69" s="330">
        <v>71</v>
      </c>
      <c r="AH69" s="330">
        <v>74</v>
      </c>
      <c r="AI69" s="330">
        <v>36</v>
      </c>
      <c r="AJ69" s="330">
        <v>36</v>
      </c>
      <c r="AK69" s="330">
        <v>27</v>
      </c>
      <c r="AL69" s="330">
        <v>5</v>
      </c>
      <c r="AM69" s="330">
        <v>0</v>
      </c>
      <c r="AN69" s="330">
        <v>2</v>
      </c>
      <c r="AO69" s="330">
        <v>3</v>
      </c>
      <c r="AP69" s="330">
        <v>26</v>
      </c>
      <c r="AQ69" s="330">
        <v>40</v>
      </c>
      <c r="AR69" s="330">
        <v>146</v>
      </c>
      <c r="AS69" s="330">
        <v>177</v>
      </c>
      <c r="AT69" s="330">
        <v>55</v>
      </c>
      <c r="AU69" s="330">
        <v>968</v>
      </c>
    </row>
    <row customHeight="true" ht="13" r="70">
      <c r="A70" s="329"/>
      <c r="K70" s="335" t="s">
        <v>769</v>
      </c>
      <c r="L70" s="329">
        <f t="shared" si="4"/>
      </c>
      <c r="M70" s="329">
        <f t="shared" si="0"/>
      </c>
      <c r="N70" s="329">
        <f t="shared" si="1"/>
      </c>
      <c r="O70" s="330">
        <v>69</v>
      </c>
      <c r="Q70" s="330">
        <v>1</v>
      </c>
      <c r="R70" s="330">
        <v>0</v>
      </c>
      <c r="S70" s="330">
        <v>5</v>
      </c>
      <c r="T70" s="330">
        <v>13</v>
      </c>
      <c r="U70" s="330">
        <v>27</v>
      </c>
      <c r="V70" s="330">
        <v>35</v>
      </c>
      <c r="W70" s="330">
        <v>25</v>
      </c>
      <c r="X70" s="330">
        <v>19</v>
      </c>
      <c r="Y70" s="330">
        <v>9</v>
      </c>
      <c r="Z70" s="330">
        <v>7</v>
      </c>
      <c r="AA70" s="330">
        <v>1</v>
      </c>
      <c r="AB70" s="330">
        <v>2</v>
      </c>
      <c r="AC70" s="330">
        <v>5</v>
      </c>
      <c r="AD70" s="330">
        <v>9</v>
      </c>
      <c r="AE70" s="330">
        <v>25</v>
      </c>
      <c r="AF70" s="330">
        <v>80</v>
      </c>
      <c r="AG70" s="330">
        <v>70</v>
      </c>
      <c r="AH70" s="330">
        <v>72</v>
      </c>
      <c r="AI70" s="330">
        <v>33</v>
      </c>
      <c r="AJ70" s="330">
        <v>33</v>
      </c>
      <c r="AK70" s="330">
        <v>25</v>
      </c>
      <c r="AL70" s="330">
        <v>4</v>
      </c>
      <c r="AM70" s="330">
        <v>0</v>
      </c>
      <c r="AN70" s="330">
        <v>1</v>
      </c>
      <c r="AO70" s="330">
        <v>3</v>
      </c>
      <c r="AP70" s="330">
        <v>26</v>
      </c>
      <c r="AQ70" s="330">
        <v>38</v>
      </c>
      <c r="AR70" s="330">
        <v>142</v>
      </c>
      <c r="AS70" s="330">
        <v>173</v>
      </c>
      <c r="AT70" s="330">
        <v>53</v>
      </c>
      <c r="AU70" s="330">
        <v>936</v>
      </c>
    </row>
    <row customHeight="true" ht="13" r="71">
      <c r="A71" s="329"/>
      <c r="K71" s="335" t="s">
        <v>769</v>
      </c>
      <c r="L71" s="329">
        <f t="shared" si="4"/>
      </c>
      <c r="M71" s="329">
        <f t="shared" si="0"/>
      </c>
      <c r="N71" s="329">
        <f t="shared" si="1"/>
      </c>
      <c r="O71" s="330">
        <v>70</v>
      </c>
      <c r="Q71" s="330">
        <v>1</v>
      </c>
      <c r="R71" s="330">
        <v>0</v>
      </c>
      <c r="S71" s="330">
        <v>5</v>
      </c>
      <c r="T71" s="330">
        <v>13</v>
      </c>
      <c r="U71" s="330">
        <v>25</v>
      </c>
      <c r="V71" s="330">
        <v>34</v>
      </c>
      <c r="W71" s="330">
        <v>25</v>
      </c>
      <c r="X71" s="330">
        <v>19</v>
      </c>
      <c r="Y71" s="330">
        <v>9</v>
      </c>
      <c r="Z71" s="330">
        <v>7</v>
      </c>
      <c r="AA71" s="330">
        <v>1</v>
      </c>
      <c r="AB71" s="330">
        <v>2</v>
      </c>
      <c r="AC71" s="330">
        <v>5</v>
      </c>
      <c r="AD71" s="330">
        <v>7</v>
      </c>
      <c r="AE71" s="330">
        <v>25</v>
      </c>
      <c r="AF71" s="330">
        <v>78</v>
      </c>
      <c r="AG71" s="330">
        <v>67</v>
      </c>
      <c r="AH71" s="330">
        <v>69</v>
      </c>
      <c r="AI71" s="330">
        <v>33</v>
      </c>
      <c r="AJ71" s="330">
        <v>33</v>
      </c>
      <c r="AK71" s="330">
        <v>24</v>
      </c>
      <c r="AL71" s="330">
        <v>4</v>
      </c>
      <c r="AM71" s="330">
        <v>0</v>
      </c>
      <c r="AN71" s="330">
        <v>1</v>
      </c>
      <c r="AO71" s="330">
        <v>3</v>
      </c>
      <c r="AP71" s="330">
        <v>25</v>
      </c>
      <c r="AQ71" s="330">
        <v>35</v>
      </c>
      <c r="AR71" s="330">
        <v>142</v>
      </c>
      <c r="AS71" s="330">
        <v>171</v>
      </c>
      <c r="AT71" s="330">
        <v>53</v>
      </c>
      <c r="AU71" s="330">
        <v>916</v>
      </c>
    </row>
    <row customHeight="true" ht="13" r="72">
      <c r="A72" s="329"/>
      <c r="K72" s="335" t="s">
        <v>769</v>
      </c>
      <c r="L72" s="329">
        <f t="shared" si="4"/>
      </c>
      <c r="M72" s="329">
        <f t="shared" si="0"/>
      </c>
      <c r="N72" s="329">
        <f t="shared" si="1"/>
      </c>
      <c r="O72" s="330">
        <v>71</v>
      </c>
      <c r="Q72" s="330">
        <v>1</v>
      </c>
      <c r="R72" s="330">
        <v>0</v>
      </c>
      <c r="S72" s="330">
        <v>5</v>
      </c>
      <c r="T72" s="330">
        <v>11</v>
      </c>
      <c r="U72" s="330">
        <v>25</v>
      </c>
      <c r="V72" s="330">
        <v>34</v>
      </c>
      <c r="W72" s="330">
        <v>25</v>
      </c>
      <c r="X72" s="330">
        <v>18</v>
      </c>
      <c r="Y72" s="330">
        <v>9</v>
      </c>
      <c r="Z72" s="330">
        <v>6</v>
      </c>
      <c r="AA72" s="330">
        <v>1</v>
      </c>
      <c r="AB72" s="330">
        <v>2</v>
      </c>
      <c r="AC72" s="330">
        <v>4</v>
      </c>
      <c r="AD72" s="330">
        <v>7</v>
      </c>
      <c r="AE72" s="330">
        <v>25</v>
      </c>
      <c r="AF72" s="330">
        <v>76</v>
      </c>
      <c r="AG72" s="330">
        <v>62</v>
      </c>
      <c r="AH72" s="330">
        <v>62</v>
      </c>
      <c r="AI72" s="330">
        <v>32</v>
      </c>
      <c r="AJ72" s="330">
        <v>32</v>
      </c>
      <c r="AK72" s="330">
        <v>22</v>
      </c>
      <c r="AL72" s="330">
        <v>4</v>
      </c>
      <c r="AM72" s="330">
        <v>0</v>
      </c>
      <c r="AN72" s="330">
        <v>1</v>
      </c>
      <c r="AO72" s="330">
        <v>2</v>
      </c>
      <c r="AP72" s="330">
        <v>23</v>
      </c>
      <c r="AQ72" s="330">
        <v>34</v>
      </c>
      <c r="AR72" s="330">
        <v>142</v>
      </c>
      <c r="AS72" s="330">
        <v>169</v>
      </c>
      <c r="AT72" s="330">
        <v>51</v>
      </c>
      <c r="AU72" s="330">
        <v>885</v>
      </c>
    </row>
    <row customHeight="true" ht="13" r="73">
      <c r="A73" s="329"/>
      <c r="K73" s="335" t="s">
        <v>769</v>
      </c>
      <c r="L73" s="329">
        <f t="shared" si="4"/>
      </c>
      <c r="M73" s="329">
        <f t="shared" si="0"/>
      </c>
      <c r="N73" s="329">
        <f t="shared" si="1"/>
      </c>
      <c r="O73" s="330">
        <v>72</v>
      </c>
      <c r="Q73" s="330">
        <v>1</v>
      </c>
      <c r="R73" s="330">
        <v>0</v>
      </c>
      <c r="S73" s="330">
        <v>4</v>
      </c>
      <c r="T73" s="330">
        <v>11</v>
      </c>
      <c r="U73" s="330">
        <v>25</v>
      </c>
      <c r="V73" s="330">
        <v>33</v>
      </c>
      <c r="W73" s="330">
        <v>25</v>
      </c>
      <c r="X73" s="330">
        <v>17</v>
      </c>
      <c r="Y73" s="330">
        <v>9</v>
      </c>
      <c r="Z73" s="330">
        <v>6</v>
      </c>
      <c r="AA73" s="330">
        <v>1</v>
      </c>
      <c r="AB73" s="330">
        <v>2</v>
      </c>
      <c r="AC73" s="330">
        <v>4</v>
      </c>
      <c r="AD73" s="330">
        <v>6</v>
      </c>
      <c r="AE73" s="330">
        <v>24</v>
      </c>
      <c r="AF73" s="330">
        <v>75</v>
      </c>
      <c r="AG73" s="330">
        <v>62</v>
      </c>
      <c r="AH73" s="330">
        <v>61</v>
      </c>
      <c r="AI73" s="330">
        <v>32</v>
      </c>
      <c r="AJ73" s="330">
        <v>32</v>
      </c>
      <c r="AK73" s="330">
        <v>22</v>
      </c>
      <c r="AL73" s="330">
        <v>4</v>
      </c>
      <c r="AM73" s="330">
        <v>0</v>
      </c>
      <c r="AN73" s="330">
        <v>1</v>
      </c>
      <c r="AO73" s="330">
        <v>2</v>
      </c>
      <c r="AP73" s="330">
        <v>18</v>
      </c>
      <c r="AQ73" s="330">
        <v>33</v>
      </c>
      <c r="AR73" s="330">
        <v>141</v>
      </c>
      <c r="AS73" s="330">
        <v>158</v>
      </c>
      <c r="AT73" s="330">
        <v>50</v>
      </c>
      <c r="AU73" s="330">
        <v>859</v>
      </c>
    </row>
    <row customHeight="true" ht="13" r="74">
      <c r="A74" s="329"/>
      <c r="K74" s="335" t="s">
        <v>769</v>
      </c>
      <c r="L74" s="329">
        <f t="shared" si="4"/>
      </c>
      <c r="M74" s="329">
        <f t="shared" si="0"/>
      </c>
      <c r="N74" s="329">
        <f t="shared" si="1"/>
      </c>
      <c r="O74" s="330">
        <v>73</v>
      </c>
      <c r="Q74" s="330">
        <v>1</v>
      </c>
      <c r="R74" s="330">
        <v>0</v>
      </c>
      <c r="S74" s="330">
        <v>3</v>
      </c>
      <c r="T74" s="330">
        <v>10</v>
      </c>
      <c r="U74" s="330">
        <v>25</v>
      </c>
      <c r="V74" s="330">
        <v>32</v>
      </c>
      <c r="W74" s="330">
        <v>24</v>
      </c>
      <c r="X74" s="330">
        <v>17</v>
      </c>
      <c r="Y74" s="330">
        <v>8</v>
      </c>
      <c r="Z74" s="330">
        <v>6</v>
      </c>
      <c r="AA74" s="330">
        <v>0</v>
      </c>
      <c r="AB74" s="330">
        <v>2</v>
      </c>
      <c r="AC74" s="330">
        <v>3</v>
      </c>
      <c r="AD74" s="330">
        <v>6</v>
      </c>
      <c r="AE74" s="330">
        <v>23</v>
      </c>
      <c r="AF74" s="330">
        <v>73</v>
      </c>
      <c r="AG74" s="330">
        <v>60</v>
      </c>
      <c r="AH74" s="330">
        <v>58</v>
      </c>
      <c r="AI74" s="330">
        <v>28</v>
      </c>
      <c r="AJ74" s="330">
        <v>28</v>
      </c>
      <c r="AK74" s="330">
        <v>21</v>
      </c>
      <c r="AL74" s="330">
        <v>4</v>
      </c>
      <c r="AM74" s="330">
        <v>0</v>
      </c>
      <c r="AO74" s="330">
        <v>2</v>
      </c>
      <c r="AP74" s="330">
        <v>18</v>
      </c>
      <c r="AQ74" s="330">
        <v>31</v>
      </c>
      <c r="AR74" s="330">
        <v>140</v>
      </c>
      <c r="AS74" s="330">
        <v>158</v>
      </c>
      <c r="AT74" s="330">
        <v>50</v>
      </c>
      <c r="AU74" s="330">
        <v>831</v>
      </c>
    </row>
    <row customHeight="true" ht="13" r="75">
      <c r="A75" s="329"/>
      <c r="K75" s="335" t="s">
        <v>769</v>
      </c>
      <c r="L75" s="329">
        <f t="shared" si="4"/>
      </c>
      <c r="M75" s="329">
        <f t="shared" si="0"/>
      </c>
      <c r="N75" s="329">
        <f t="shared" si="1"/>
      </c>
      <c r="O75" s="330">
        <v>74</v>
      </c>
      <c r="Q75" s="330">
        <v>0</v>
      </c>
      <c r="R75" s="330">
        <v>0</v>
      </c>
      <c r="S75" s="330">
        <v>3</v>
      </c>
      <c r="T75" s="330">
        <v>10</v>
      </c>
      <c r="U75" s="330">
        <v>24</v>
      </c>
      <c r="V75" s="330">
        <v>30</v>
      </c>
      <c r="W75" s="330">
        <v>23</v>
      </c>
      <c r="X75" s="330">
        <v>16</v>
      </c>
      <c r="Y75" s="330">
        <v>7</v>
      </c>
      <c r="Z75" s="330">
        <v>6</v>
      </c>
      <c r="AA75" s="330">
        <v>0</v>
      </c>
      <c r="AB75" s="330">
        <v>2</v>
      </c>
      <c r="AC75" s="330">
        <v>3</v>
      </c>
      <c r="AD75" s="330">
        <v>5</v>
      </c>
      <c r="AE75" s="330">
        <v>23</v>
      </c>
      <c r="AF75" s="330">
        <v>60</v>
      </c>
      <c r="AG75" s="330">
        <v>59</v>
      </c>
      <c r="AH75" s="330">
        <v>52</v>
      </c>
      <c r="AI75" s="330">
        <v>25</v>
      </c>
      <c r="AJ75" s="330">
        <v>25</v>
      </c>
      <c r="AK75" s="330">
        <v>19</v>
      </c>
      <c r="AL75" s="330">
        <v>3</v>
      </c>
      <c r="AO75" s="330">
        <v>1</v>
      </c>
      <c r="AP75" s="330">
        <v>17</v>
      </c>
      <c r="AQ75" s="330">
        <v>31</v>
      </c>
      <c r="AR75" s="330">
        <v>139</v>
      </c>
      <c r="AS75" s="330">
        <v>156</v>
      </c>
      <c r="AT75" s="330">
        <v>49</v>
      </c>
      <c r="AU75" s="330">
        <v>788</v>
      </c>
    </row>
    <row customHeight="true" ht="13" r="76">
      <c r="A76" s="329"/>
      <c r="K76" s="335" t="s">
        <v>769</v>
      </c>
      <c r="L76" s="329">
        <f t="shared" si="4"/>
      </c>
      <c r="M76" s="329">
        <f t="shared" si="0"/>
      </c>
      <c r="N76" s="329">
        <f t="shared" si="1"/>
      </c>
      <c r="O76" s="330">
        <v>75</v>
      </c>
      <c r="Q76" s="330">
        <v>0</v>
      </c>
      <c r="R76" s="330">
        <v>0</v>
      </c>
      <c r="S76" s="330">
        <v>3</v>
      </c>
      <c r="T76" s="330">
        <v>9</v>
      </c>
      <c r="U76" s="330">
        <v>22</v>
      </c>
      <c r="V76" s="330">
        <v>30</v>
      </c>
      <c r="W76" s="330">
        <v>23</v>
      </c>
      <c r="X76" s="330">
        <v>16</v>
      </c>
      <c r="Y76" s="330">
        <v>7</v>
      </c>
      <c r="Z76" s="330">
        <v>6</v>
      </c>
      <c r="AA76" s="330">
        <v>0</v>
      </c>
      <c r="AB76" s="330">
        <v>1</v>
      </c>
      <c r="AC76" s="330">
        <v>3</v>
      </c>
      <c r="AD76" s="330">
        <v>5</v>
      </c>
      <c r="AE76" s="330">
        <v>22</v>
      </c>
      <c r="AF76" s="330">
        <v>58</v>
      </c>
      <c r="AG76" s="330">
        <v>58</v>
      </c>
      <c r="AH76" s="330">
        <v>49</v>
      </c>
      <c r="AI76" s="330">
        <v>25</v>
      </c>
      <c r="AJ76" s="330">
        <v>25</v>
      </c>
      <c r="AK76" s="330">
        <v>16</v>
      </c>
      <c r="AL76" s="330">
        <v>3</v>
      </c>
      <c r="AO76" s="330">
        <v>1</v>
      </c>
      <c r="AP76" s="330">
        <v>17</v>
      </c>
      <c r="AQ76" s="330">
        <v>30</v>
      </c>
      <c r="AR76" s="330">
        <v>136</v>
      </c>
      <c r="AS76" s="330">
        <v>155</v>
      </c>
      <c r="AT76" s="330">
        <v>49</v>
      </c>
      <c r="AU76" s="330">
        <v>769</v>
      </c>
    </row>
    <row customHeight="true" ht="13" r="77">
      <c r="A77" s="329"/>
      <c r="K77" s="335" t="s">
        <v>769</v>
      </c>
      <c r="L77" s="329">
        <f t="shared" si="4"/>
      </c>
      <c r="M77" s="329">
        <f t="shared" si="0"/>
      </c>
      <c r="N77" s="329">
        <f t="shared" si="1"/>
      </c>
      <c r="O77" s="330">
        <v>76</v>
      </c>
      <c r="Q77" s="330">
        <v>0</v>
      </c>
      <c r="R77" s="330">
        <v>0</v>
      </c>
      <c r="S77" s="330">
        <v>3</v>
      </c>
      <c r="T77" s="330">
        <v>8</v>
      </c>
      <c r="U77" s="330">
        <v>22</v>
      </c>
      <c r="V77" s="330">
        <v>30</v>
      </c>
      <c r="W77" s="330">
        <v>23</v>
      </c>
      <c r="X77" s="330">
        <v>16</v>
      </c>
      <c r="Y77" s="330">
        <v>7</v>
      </c>
      <c r="Z77" s="330">
        <v>6</v>
      </c>
      <c r="AA77" s="330">
        <v>0</v>
      </c>
      <c r="AB77" s="330">
        <v>1</v>
      </c>
      <c r="AC77" s="330">
        <v>3</v>
      </c>
      <c r="AD77" s="330">
        <v>5</v>
      </c>
      <c r="AE77" s="330">
        <v>21</v>
      </c>
      <c r="AF77" s="330">
        <v>58</v>
      </c>
      <c r="AG77" s="330">
        <v>56</v>
      </c>
      <c r="AH77" s="330">
        <v>46</v>
      </c>
      <c r="AI77" s="330">
        <v>24</v>
      </c>
      <c r="AJ77" s="330">
        <v>24</v>
      </c>
      <c r="AK77" s="330">
        <v>13</v>
      </c>
      <c r="AL77" s="330">
        <v>3</v>
      </c>
      <c r="AO77" s="330">
        <v>1</v>
      </c>
      <c r="AP77" s="330">
        <v>16</v>
      </c>
      <c r="AQ77" s="330">
        <v>27</v>
      </c>
      <c r="AR77" s="330">
        <v>128</v>
      </c>
      <c r="AS77" s="330">
        <v>155</v>
      </c>
      <c r="AT77" s="330">
        <v>48</v>
      </c>
      <c r="AU77" s="330">
        <v>744</v>
      </c>
    </row>
    <row customHeight="true" ht="13" r="78">
      <c r="A78" s="329"/>
      <c r="K78" s="335" t="s">
        <v>769</v>
      </c>
      <c r="L78" s="329">
        <f t="shared" si="4"/>
      </c>
      <c r="M78" s="329">
        <f t="shared" si="0"/>
      </c>
      <c r="N78" s="329">
        <f t="shared" si="1"/>
      </c>
      <c r="O78" s="330">
        <v>77</v>
      </c>
      <c r="Q78" s="330">
        <v>0</v>
      </c>
      <c r="R78" s="330">
        <v>0</v>
      </c>
      <c r="S78" s="330">
        <v>3</v>
      </c>
      <c r="T78" s="330">
        <v>7</v>
      </c>
      <c r="U78" s="330">
        <v>22</v>
      </c>
      <c r="V78" s="330">
        <v>29</v>
      </c>
      <c r="W78" s="330">
        <v>21</v>
      </c>
      <c r="X78" s="330">
        <v>16</v>
      </c>
      <c r="Y78" s="330">
        <v>7</v>
      </c>
      <c r="Z78" s="330">
        <v>6</v>
      </c>
      <c r="AA78" s="330">
        <v>0</v>
      </c>
      <c r="AB78" s="330">
        <v>1</v>
      </c>
      <c r="AC78" s="330">
        <v>3</v>
      </c>
      <c r="AD78" s="330">
        <v>5</v>
      </c>
      <c r="AE78" s="330">
        <v>20</v>
      </c>
      <c r="AF78" s="330">
        <v>55</v>
      </c>
      <c r="AG78" s="330">
        <v>53</v>
      </c>
      <c r="AH78" s="330">
        <v>44</v>
      </c>
      <c r="AI78" s="330">
        <v>24</v>
      </c>
      <c r="AJ78" s="330">
        <v>24</v>
      </c>
      <c r="AK78" s="330">
        <v>13</v>
      </c>
      <c r="AL78" s="330">
        <v>3</v>
      </c>
      <c r="AO78" s="330">
        <v>1</v>
      </c>
      <c r="AP78" s="330">
        <v>15</v>
      </c>
      <c r="AQ78" s="330">
        <v>25</v>
      </c>
      <c r="AR78" s="330">
        <v>126</v>
      </c>
      <c r="AS78" s="330">
        <v>148</v>
      </c>
      <c r="AT78" s="330">
        <v>46</v>
      </c>
      <c r="AU78" s="330">
        <v>717</v>
      </c>
    </row>
    <row customHeight="true" ht="13" r="79">
      <c r="A79" s="329"/>
      <c r="K79" s="335" t="s">
        <v>769</v>
      </c>
      <c r="L79" s="329">
        <f t="shared" si="4"/>
      </c>
      <c r="M79" s="329">
        <f t="shared" si="0"/>
      </c>
      <c r="N79" s="329">
        <f t="shared" si="1"/>
      </c>
      <c r="O79" s="330">
        <v>78</v>
      </c>
      <c r="Q79" s="330">
        <v>0</v>
      </c>
      <c r="R79" s="330">
        <v>0</v>
      </c>
      <c r="S79" s="330">
        <v>3</v>
      </c>
      <c r="T79" s="330">
        <v>6</v>
      </c>
      <c r="U79" s="330">
        <v>20</v>
      </c>
      <c r="V79" s="330">
        <v>29</v>
      </c>
      <c r="W79" s="330">
        <v>20</v>
      </c>
      <c r="X79" s="330">
        <v>15</v>
      </c>
      <c r="Y79" s="330">
        <v>7</v>
      </c>
      <c r="Z79" s="330">
        <v>6</v>
      </c>
      <c r="AA79" s="330">
        <v>0</v>
      </c>
      <c r="AB79" s="330">
        <v>1</v>
      </c>
      <c r="AC79" s="330">
        <v>3</v>
      </c>
      <c r="AD79" s="330">
        <v>5</v>
      </c>
      <c r="AE79" s="330">
        <v>20</v>
      </c>
      <c r="AF79" s="330">
        <v>54</v>
      </c>
      <c r="AG79" s="330">
        <v>52</v>
      </c>
      <c r="AH79" s="330">
        <v>42</v>
      </c>
      <c r="AI79" s="330">
        <v>24</v>
      </c>
      <c r="AJ79" s="330">
        <v>24</v>
      </c>
      <c r="AK79" s="330">
        <v>13</v>
      </c>
      <c r="AL79" s="330">
        <v>3</v>
      </c>
      <c r="AO79" s="330">
        <v>1</v>
      </c>
      <c r="AP79" s="330">
        <v>12</v>
      </c>
      <c r="AQ79" s="330">
        <v>24</v>
      </c>
      <c r="AR79" s="330">
        <v>125</v>
      </c>
      <c r="AS79" s="330">
        <v>142</v>
      </c>
      <c r="AT79" s="330">
        <v>44</v>
      </c>
      <c r="AU79" s="330">
        <v>695</v>
      </c>
    </row>
    <row customHeight="true" ht="13" r="80">
      <c r="A80" s="329"/>
      <c r="K80" s="335" t="s">
        <v>769</v>
      </c>
      <c r="L80" s="329">
        <f t="shared" si="4"/>
      </c>
      <c r="M80" s="329">
        <f t="shared" si="0"/>
      </c>
      <c r="N80" s="329">
        <f t="shared" si="1"/>
      </c>
      <c r="O80" s="330">
        <v>79</v>
      </c>
      <c r="Q80" s="330">
        <v>0</v>
      </c>
      <c r="R80" s="330">
        <v>0</v>
      </c>
      <c r="S80" s="330">
        <v>3</v>
      </c>
      <c r="T80" s="330">
        <v>6</v>
      </c>
      <c r="U80" s="330">
        <v>19</v>
      </c>
      <c r="V80" s="330">
        <v>28</v>
      </c>
      <c r="W80" s="330">
        <v>20</v>
      </c>
      <c r="X80" s="330">
        <v>15</v>
      </c>
      <c r="Y80" s="330">
        <v>6</v>
      </c>
      <c r="Z80" s="330">
        <v>6</v>
      </c>
      <c r="AA80" s="330">
        <v>0</v>
      </c>
      <c r="AB80" s="330">
        <v>1</v>
      </c>
      <c r="AC80" s="330">
        <v>3</v>
      </c>
      <c r="AD80" s="330">
        <v>5</v>
      </c>
      <c r="AE80" s="330">
        <v>20</v>
      </c>
      <c r="AF80" s="330">
        <v>50</v>
      </c>
      <c r="AG80" s="330">
        <v>50</v>
      </c>
      <c r="AH80" s="330">
        <v>41</v>
      </c>
      <c r="AI80" s="330">
        <v>20</v>
      </c>
      <c r="AJ80" s="330">
        <v>20</v>
      </c>
      <c r="AK80" s="330">
        <v>13</v>
      </c>
      <c r="AL80" s="330">
        <v>3</v>
      </c>
      <c r="AP80" s="330">
        <v>10</v>
      </c>
      <c r="AQ80" s="330">
        <v>24</v>
      </c>
      <c r="AR80" s="330">
        <v>121</v>
      </c>
      <c r="AS80" s="330">
        <v>142</v>
      </c>
      <c r="AT80" s="330">
        <v>44</v>
      </c>
      <c r="AU80" s="330">
        <v>670</v>
      </c>
    </row>
    <row customHeight="true" ht="13" r="81">
      <c r="A81" s="329"/>
      <c r="K81" s="335" t="s">
        <v>769</v>
      </c>
      <c r="L81" s="329">
        <f t="shared" si="4"/>
      </c>
      <c r="M81" s="329">
        <f t="shared" si="0"/>
      </c>
      <c r="N81" s="329">
        <f t="shared" si="1"/>
      </c>
      <c r="O81" s="330">
        <v>80</v>
      </c>
      <c r="Q81" s="330">
        <v>0</v>
      </c>
      <c r="R81" s="330">
        <v>0</v>
      </c>
      <c r="S81" s="330">
        <v>3</v>
      </c>
      <c r="T81" s="330">
        <v>5</v>
      </c>
      <c r="U81" s="330">
        <v>19</v>
      </c>
      <c r="V81" s="330">
        <v>27</v>
      </c>
      <c r="W81" s="330">
        <v>20</v>
      </c>
      <c r="X81" s="330">
        <v>15</v>
      </c>
      <c r="Y81" s="330">
        <v>6</v>
      </c>
      <c r="Z81" s="330">
        <v>5</v>
      </c>
      <c r="AA81" s="330">
        <v>0</v>
      </c>
      <c r="AB81" s="330">
        <v>1</v>
      </c>
      <c r="AC81" s="330">
        <v>3</v>
      </c>
      <c r="AD81" s="330">
        <v>5</v>
      </c>
      <c r="AE81" s="330">
        <v>20</v>
      </c>
      <c r="AF81" s="330">
        <v>50</v>
      </c>
      <c r="AG81" s="330">
        <v>45</v>
      </c>
      <c r="AH81" s="330">
        <v>38</v>
      </c>
      <c r="AI81" s="330">
        <v>18</v>
      </c>
      <c r="AJ81" s="330">
        <v>18</v>
      </c>
      <c r="AK81" s="330">
        <v>12</v>
      </c>
      <c r="AL81" s="330">
        <v>3</v>
      </c>
      <c r="AP81" s="330">
        <v>9</v>
      </c>
      <c r="AQ81" s="330">
        <v>22</v>
      </c>
      <c r="AR81" s="330">
        <v>121</v>
      </c>
      <c r="AS81" s="330">
        <v>142</v>
      </c>
      <c r="AT81" s="330">
        <v>44</v>
      </c>
      <c r="AU81" s="330">
        <v>651</v>
      </c>
    </row>
    <row customHeight="true" ht="13" r="82">
      <c r="A82" s="329"/>
      <c r="L82" s="329">
        <f t="shared" si="4"/>
      </c>
      <c r="M82" s="329">
        <f t="shared" si="0"/>
      </c>
      <c r="N82" s="329">
        <f t="shared" si="1"/>
      </c>
      <c r="O82" s="330">
        <v>81</v>
      </c>
      <c r="Q82" s="330">
        <v>0</v>
      </c>
      <c r="R82" s="330">
        <v>0</v>
      </c>
      <c r="S82" s="330">
        <v>3</v>
      </c>
      <c r="T82" s="330">
        <v>5</v>
      </c>
      <c r="U82" s="330">
        <v>17</v>
      </c>
      <c r="V82" s="330">
        <v>26</v>
      </c>
      <c r="W82" s="330">
        <v>19</v>
      </c>
      <c r="X82" s="330">
        <v>15</v>
      </c>
      <c r="Y82" s="330">
        <v>6</v>
      </c>
      <c r="Z82" s="330">
        <v>5</v>
      </c>
      <c r="AA82" s="330">
        <v>0</v>
      </c>
      <c r="AB82" s="330">
        <v>1</v>
      </c>
      <c r="AC82" s="330">
        <v>2</v>
      </c>
      <c r="AD82" s="330">
        <v>5</v>
      </c>
      <c r="AE82" s="330">
        <v>20</v>
      </c>
      <c r="AF82" s="330">
        <v>50</v>
      </c>
      <c r="AG82" s="330">
        <v>44</v>
      </c>
      <c r="AH82" s="330">
        <v>37</v>
      </c>
      <c r="AI82" s="330">
        <v>16</v>
      </c>
      <c r="AJ82" s="330">
        <v>16</v>
      </c>
      <c r="AK82" s="330">
        <v>12</v>
      </c>
      <c r="AL82" s="330">
        <v>2</v>
      </c>
      <c r="AP82" s="330">
        <v>8</v>
      </c>
      <c r="AQ82" s="330">
        <v>20</v>
      </c>
      <c r="AR82" s="330">
        <v>112</v>
      </c>
      <c r="AS82" s="330">
        <v>139</v>
      </c>
      <c r="AT82" s="330">
        <v>44</v>
      </c>
      <c r="AU82" s="330">
        <v>624</v>
      </c>
    </row>
    <row customHeight="true" ht="13" r="83">
      <c r="A83" s="329"/>
      <c r="L83" s="329">
        <f t="shared" si="4"/>
      </c>
      <c r="M83" s="329">
        <f t="shared" si="0"/>
      </c>
      <c r="N83" s="329">
        <f t="shared" si="1"/>
      </c>
      <c r="O83" s="330">
        <v>82</v>
      </c>
      <c r="Q83" s="330">
        <v>0</v>
      </c>
      <c r="R83" s="330">
        <v>0</v>
      </c>
      <c r="S83" s="330">
        <v>2</v>
      </c>
      <c r="T83" s="330">
        <v>4</v>
      </c>
      <c r="U83" s="330">
        <v>17</v>
      </c>
      <c r="V83" s="330">
        <v>26</v>
      </c>
      <c r="W83" s="330">
        <v>19</v>
      </c>
      <c r="X83" s="330">
        <v>14</v>
      </c>
      <c r="Y83" s="330">
        <v>6</v>
      </c>
      <c r="Z83" s="330">
        <v>5</v>
      </c>
      <c r="AA83" s="330">
        <v>0</v>
      </c>
      <c r="AB83" s="330">
        <v>1</v>
      </c>
      <c r="AC83" s="330">
        <v>2</v>
      </c>
      <c r="AD83" s="330">
        <v>4</v>
      </c>
      <c r="AE83" s="330">
        <v>19</v>
      </c>
      <c r="AF83" s="330">
        <v>47</v>
      </c>
      <c r="AG83" s="330">
        <v>41</v>
      </c>
      <c r="AH83" s="330">
        <v>35</v>
      </c>
      <c r="AI83" s="330">
        <v>16</v>
      </c>
      <c r="AJ83" s="330">
        <v>16</v>
      </c>
      <c r="AK83" s="330">
        <v>12</v>
      </c>
      <c r="AL83" s="330">
        <v>2</v>
      </c>
      <c r="AP83" s="330">
        <v>6</v>
      </c>
      <c r="AQ83" s="330">
        <v>20</v>
      </c>
      <c r="AR83" s="330">
        <v>111</v>
      </c>
      <c r="AS83" s="330">
        <v>139</v>
      </c>
      <c r="AT83" s="330">
        <v>42</v>
      </c>
      <c r="AU83" s="330">
        <v>606</v>
      </c>
    </row>
    <row customHeight="true" ht="13" r="84">
      <c r="A84" s="329"/>
      <c r="L84" s="329">
        <f t="shared" si="4"/>
      </c>
      <c r="M84" s="329">
        <f t="shared" si="0"/>
      </c>
      <c r="N84" s="329">
        <f t="shared" si="1"/>
      </c>
      <c r="O84" s="330">
        <v>83</v>
      </c>
      <c r="Q84" s="330">
        <v>0</v>
      </c>
      <c r="R84" s="330">
        <v>0</v>
      </c>
      <c r="S84" s="330">
        <v>2</v>
      </c>
      <c r="T84" s="330">
        <v>4</v>
      </c>
      <c r="U84" s="330">
        <v>16</v>
      </c>
      <c r="V84" s="330">
        <v>25</v>
      </c>
      <c r="W84" s="330">
        <v>19</v>
      </c>
      <c r="X84" s="330">
        <v>14</v>
      </c>
      <c r="Y84" s="330">
        <v>5</v>
      </c>
      <c r="Z84" s="330">
        <v>5</v>
      </c>
      <c r="AA84" s="330">
        <v>0</v>
      </c>
      <c r="AB84" s="330">
        <v>1</v>
      </c>
      <c r="AC84" s="330">
        <v>2</v>
      </c>
      <c r="AD84" s="330">
        <v>4</v>
      </c>
      <c r="AE84" s="330">
        <v>19</v>
      </c>
      <c r="AF84" s="330">
        <v>46</v>
      </c>
      <c r="AG84" s="330">
        <v>40</v>
      </c>
      <c r="AH84" s="330">
        <v>34</v>
      </c>
      <c r="AI84" s="330">
        <v>15</v>
      </c>
      <c r="AJ84" s="330">
        <v>15</v>
      </c>
      <c r="AK84" s="330">
        <v>11</v>
      </c>
      <c r="AL84" s="330">
        <v>2</v>
      </c>
      <c r="AP84" s="330">
        <v>5</v>
      </c>
      <c r="AQ84" s="330">
        <v>17</v>
      </c>
      <c r="AR84" s="330">
        <v>108</v>
      </c>
      <c r="AS84" s="330">
        <v>135</v>
      </c>
      <c r="AT84" s="330">
        <v>42</v>
      </c>
      <c r="AU84" s="330">
        <v>586</v>
      </c>
    </row>
    <row customHeight="true" ht="13" r="85">
      <c r="A85" s="329"/>
      <c r="L85" s="329">
        <f t="shared" si="4"/>
      </c>
      <c r="M85" s="329">
        <f t="shared" si="0"/>
      </c>
      <c r="N85" s="329">
        <f t="shared" si="1"/>
      </c>
      <c r="O85" s="330">
        <v>84</v>
      </c>
      <c r="Q85" s="330">
        <v>0</v>
      </c>
      <c r="R85" s="330">
        <v>0</v>
      </c>
      <c r="S85" s="330">
        <v>2</v>
      </c>
      <c r="T85" s="330">
        <v>3</v>
      </c>
      <c r="U85" s="330">
        <v>13</v>
      </c>
      <c r="V85" s="330">
        <v>25</v>
      </c>
      <c r="W85" s="330">
        <v>18</v>
      </c>
      <c r="X85" s="330">
        <v>14</v>
      </c>
      <c r="Y85" s="330">
        <v>5</v>
      </c>
      <c r="Z85" s="330">
        <v>5</v>
      </c>
      <c r="AA85" s="330">
        <v>0</v>
      </c>
      <c r="AB85" s="330">
        <v>1</v>
      </c>
      <c r="AC85" s="330">
        <v>2</v>
      </c>
      <c r="AD85" s="330">
        <v>4</v>
      </c>
      <c r="AE85" s="330">
        <v>19</v>
      </c>
      <c r="AF85" s="330">
        <v>46</v>
      </c>
      <c r="AG85" s="330">
        <v>38</v>
      </c>
      <c r="AH85" s="330">
        <v>33</v>
      </c>
      <c r="AI85" s="330">
        <v>15</v>
      </c>
      <c r="AJ85" s="330">
        <v>15</v>
      </c>
      <c r="AK85" s="330">
        <v>11</v>
      </c>
      <c r="AL85" s="330">
        <v>2</v>
      </c>
      <c r="AP85" s="330">
        <v>5</v>
      </c>
      <c r="AQ85" s="330">
        <v>15</v>
      </c>
      <c r="AR85" s="330">
        <v>104</v>
      </c>
      <c r="AS85" s="330">
        <v>121</v>
      </c>
      <c r="AT85" s="330">
        <v>41</v>
      </c>
      <c r="AU85" s="330">
        <v>557</v>
      </c>
    </row>
    <row customHeight="true" ht="13" r="86">
      <c r="A86" s="329"/>
      <c r="L86" s="329">
        <f t="shared" si="4"/>
      </c>
      <c r="M86" s="329">
        <f t="shared" si="0"/>
      </c>
      <c r="N86" s="329">
        <f t="shared" si="1"/>
      </c>
      <c r="O86" s="330">
        <v>85</v>
      </c>
      <c r="Q86" s="330">
        <v>0</v>
      </c>
      <c r="R86" s="330">
        <v>0</v>
      </c>
      <c r="S86" s="330">
        <v>2</v>
      </c>
      <c r="T86" s="330">
        <v>3</v>
      </c>
      <c r="U86" s="330">
        <v>13</v>
      </c>
      <c r="V86" s="330">
        <v>25</v>
      </c>
      <c r="W86" s="330">
        <v>17</v>
      </c>
      <c r="X86" s="330">
        <v>14</v>
      </c>
      <c r="Y86" s="330">
        <v>5</v>
      </c>
      <c r="Z86" s="330">
        <v>5</v>
      </c>
      <c r="AA86" s="330">
        <v>0</v>
      </c>
      <c r="AB86" s="330">
        <v>1</v>
      </c>
      <c r="AC86" s="330">
        <v>2</v>
      </c>
      <c r="AD86" s="330">
        <v>4</v>
      </c>
      <c r="AE86" s="330">
        <v>19</v>
      </c>
      <c r="AF86" s="330">
        <v>46</v>
      </c>
      <c r="AG86" s="330">
        <v>38</v>
      </c>
      <c r="AH86" s="330">
        <v>31</v>
      </c>
      <c r="AI86" s="330">
        <v>13</v>
      </c>
      <c r="AJ86" s="330">
        <v>13</v>
      </c>
      <c r="AK86" s="330">
        <v>11</v>
      </c>
      <c r="AL86" s="330">
        <v>2</v>
      </c>
      <c r="AP86" s="330">
        <v>4</v>
      </c>
      <c r="AQ86" s="330">
        <v>14</v>
      </c>
      <c r="AR86" s="330">
        <v>100</v>
      </c>
      <c r="AS86" s="330">
        <v>108</v>
      </c>
      <c r="AT86" s="330">
        <v>41</v>
      </c>
      <c r="AU86" s="330">
        <v>531</v>
      </c>
    </row>
    <row customHeight="true" ht="13" r="87">
      <c r="A87" s="329"/>
      <c r="L87" s="329">
        <f t="shared" si="4"/>
      </c>
      <c r="M87" s="329">
        <f t="shared" si="0"/>
      </c>
      <c r="N87" s="329">
        <f t="shared" si="1"/>
      </c>
      <c r="O87" s="330">
        <v>86</v>
      </c>
      <c r="Q87" s="330">
        <v>0</v>
      </c>
      <c r="R87" s="330">
        <v>0</v>
      </c>
      <c r="S87" s="330">
        <v>2</v>
      </c>
      <c r="T87" s="330">
        <v>3</v>
      </c>
      <c r="U87" s="330">
        <v>13</v>
      </c>
      <c r="V87" s="330">
        <v>25</v>
      </c>
      <c r="W87" s="330">
        <v>17</v>
      </c>
      <c r="X87" s="330">
        <v>13</v>
      </c>
      <c r="Y87" s="330">
        <v>4</v>
      </c>
      <c r="Z87" s="330">
        <v>5</v>
      </c>
      <c r="AA87" s="330">
        <v>0</v>
      </c>
      <c r="AB87" s="330">
        <v>1</v>
      </c>
      <c r="AC87" s="330">
        <v>2</v>
      </c>
      <c r="AD87" s="330">
        <v>4</v>
      </c>
      <c r="AE87" s="330">
        <v>18</v>
      </c>
      <c r="AF87" s="330">
        <v>46</v>
      </c>
      <c r="AG87" s="330">
        <v>37</v>
      </c>
      <c r="AH87" s="330">
        <v>31</v>
      </c>
      <c r="AI87" s="330">
        <v>12</v>
      </c>
      <c r="AJ87" s="330">
        <v>12</v>
      </c>
      <c r="AK87" s="330">
        <v>10</v>
      </c>
      <c r="AL87" s="330">
        <v>2</v>
      </c>
      <c r="AP87" s="330">
        <v>3</v>
      </c>
      <c r="AQ87" s="330">
        <v>12</v>
      </c>
      <c r="AR87" s="330">
        <v>99</v>
      </c>
      <c r="AS87" s="330">
        <v>105</v>
      </c>
      <c r="AT87" s="330">
        <v>41</v>
      </c>
      <c r="AU87" s="330">
        <v>517</v>
      </c>
    </row>
    <row customHeight="true" ht="13" r="88">
      <c r="A88" s="329"/>
      <c r="L88" s="329">
        <f t="shared" si="4"/>
      </c>
      <c r="M88" s="329">
        <f t="shared" si="0"/>
      </c>
      <c r="N88" s="329">
        <f t="shared" si="1"/>
      </c>
      <c r="O88" s="330">
        <v>87</v>
      </c>
      <c r="Q88" s="330">
        <v>0</v>
      </c>
      <c r="R88" s="330">
        <v>0</v>
      </c>
      <c r="S88" s="330">
        <v>2</v>
      </c>
      <c r="T88" s="330">
        <v>3</v>
      </c>
      <c r="U88" s="330">
        <v>13</v>
      </c>
      <c r="V88" s="330">
        <v>25</v>
      </c>
      <c r="W88" s="330">
        <v>17</v>
      </c>
      <c r="X88" s="330">
        <v>13</v>
      </c>
      <c r="Y88" s="330">
        <v>4</v>
      </c>
      <c r="Z88" s="330">
        <v>5</v>
      </c>
      <c r="AA88" s="330">
        <v>0</v>
      </c>
      <c r="AB88" s="330">
        <v>1</v>
      </c>
      <c r="AC88" s="330">
        <v>2</v>
      </c>
      <c r="AD88" s="330">
        <v>4</v>
      </c>
      <c r="AE88" s="330">
        <v>16</v>
      </c>
      <c r="AF88" s="330">
        <v>45</v>
      </c>
      <c r="AG88" s="330">
        <v>34</v>
      </c>
      <c r="AH88" s="330">
        <v>30</v>
      </c>
      <c r="AI88" s="330">
        <v>12</v>
      </c>
      <c r="AJ88" s="330">
        <v>12</v>
      </c>
      <c r="AK88" s="330">
        <v>10</v>
      </c>
      <c r="AL88" s="330">
        <v>1</v>
      </c>
      <c r="AP88" s="330">
        <v>3</v>
      </c>
      <c r="AQ88" s="330">
        <v>11</v>
      </c>
      <c r="AR88" s="330">
        <v>98</v>
      </c>
      <c r="AS88" s="330">
        <v>100</v>
      </c>
      <c r="AT88" s="330">
        <v>40</v>
      </c>
      <c r="AU88" s="330">
        <v>501</v>
      </c>
    </row>
    <row customHeight="true" ht="13" r="89">
      <c r="A89" s="329"/>
      <c r="L89" s="329">
        <f t="shared" si="4"/>
      </c>
      <c r="M89" s="329">
        <f t="shared" si="0"/>
      </c>
      <c r="N89" s="329">
        <f t="shared" si="1"/>
      </c>
      <c r="O89" s="330">
        <v>88</v>
      </c>
      <c r="Q89" s="330">
        <v>0</v>
      </c>
      <c r="R89" s="330">
        <v>0</v>
      </c>
      <c r="S89" s="330">
        <v>2</v>
      </c>
      <c r="T89" s="330">
        <v>3</v>
      </c>
      <c r="U89" s="330">
        <v>12</v>
      </c>
      <c r="V89" s="330">
        <v>24</v>
      </c>
      <c r="W89" s="330">
        <v>15</v>
      </c>
      <c r="X89" s="330">
        <v>13</v>
      </c>
      <c r="Y89" s="330">
        <v>4</v>
      </c>
      <c r="Z89" s="330">
        <v>4</v>
      </c>
      <c r="AA89" s="330">
        <v>0</v>
      </c>
      <c r="AB89" s="330">
        <v>1</v>
      </c>
      <c r="AC89" s="330">
        <v>2</v>
      </c>
      <c r="AD89" s="330">
        <v>4</v>
      </c>
      <c r="AE89" s="330">
        <v>16</v>
      </c>
      <c r="AF89" s="330">
        <v>43</v>
      </c>
      <c r="AG89" s="330">
        <v>34</v>
      </c>
      <c r="AH89" s="330">
        <v>30</v>
      </c>
      <c r="AI89" s="330">
        <v>11</v>
      </c>
      <c r="AJ89" s="330">
        <v>11</v>
      </c>
      <c r="AK89" s="330">
        <v>10</v>
      </c>
      <c r="AL89" s="330">
        <v>1</v>
      </c>
      <c r="AP89" s="330">
        <v>3</v>
      </c>
      <c r="AQ89" s="330">
        <v>8</v>
      </c>
      <c r="AR89" s="330">
        <v>95</v>
      </c>
      <c r="AS89" s="330">
        <v>98</v>
      </c>
      <c r="AT89" s="330">
        <v>40</v>
      </c>
      <c r="AU89" s="330">
        <v>484</v>
      </c>
    </row>
    <row customHeight="true" ht="13" r="90">
      <c r="A90" s="329"/>
      <c r="L90" s="329">
        <f t="shared" si="4"/>
      </c>
      <c r="M90" s="329">
        <f t="shared" si="0"/>
      </c>
      <c r="N90" s="329">
        <f t="shared" si="1"/>
      </c>
      <c r="O90" s="330">
        <v>89</v>
      </c>
      <c r="Q90" s="330">
        <v>0</v>
      </c>
      <c r="R90" s="330">
        <v>0</v>
      </c>
      <c r="S90" s="330">
        <v>2</v>
      </c>
      <c r="T90" s="330">
        <v>2</v>
      </c>
      <c r="U90" s="330">
        <v>12</v>
      </c>
      <c r="V90" s="330">
        <v>23</v>
      </c>
      <c r="W90" s="330">
        <v>15</v>
      </c>
      <c r="X90" s="330">
        <v>12</v>
      </c>
      <c r="Y90" s="330">
        <v>4</v>
      </c>
      <c r="Z90" s="330">
        <v>4</v>
      </c>
      <c r="AA90" s="330">
        <v>0</v>
      </c>
      <c r="AB90" s="330">
        <v>0</v>
      </c>
      <c r="AC90" s="330">
        <v>1</v>
      </c>
      <c r="AD90" s="330">
        <v>4</v>
      </c>
      <c r="AE90" s="330">
        <v>16</v>
      </c>
      <c r="AF90" s="330">
        <v>43</v>
      </c>
      <c r="AG90" s="330">
        <v>31</v>
      </c>
      <c r="AH90" s="330">
        <v>30</v>
      </c>
      <c r="AI90" s="330">
        <v>9</v>
      </c>
      <c r="AJ90" s="330">
        <v>9</v>
      </c>
      <c r="AK90" s="330">
        <v>9</v>
      </c>
      <c r="AL90" s="330">
        <v>1</v>
      </c>
      <c r="AP90" s="330">
        <v>3</v>
      </c>
      <c r="AQ90" s="330">
        <v>8</v>
      </c>
      <c r="AR90" s="330">
        <v>90</v>
      </c>
      <c r="AS90" s="330">
        <v>97</v>
      </c>
      <c r="AT90" s="330">
        <v>39</v>
      </c>
      <c r="AU90" s="330">
        <v>464</v>
      </c>
    </row>
    <row customHeight="true" ht="13" r="91">
      <c r="A91" s="329"/>
      <c r="L91" s="329">
        <f t="shared" si="4"/>
      </c>
      <c r="M91" s="329">
        <f t="shared" si="0"/>
      </c>
      <c r="N91" s="329">
        <f t="shared" si="1"/>
      </c>
      <c r="O91" s="330">
        <v>90</v>
      </c>
      <c r="Q91" s="330">
        <v>0</v>
      </c>
      <c r="R91" s="330">
        <v>0</v>
      </c>
      <c r="S91" s="330">
        <v>2</v>
      </c>
      <c r="T91" s="330">
        <v>2</v>
      </c>
      <c r="U91" s="330">
        <v>11</v>
      </c>
      <c r="V91" s="330">
        <v>23</v>
      </c>
      <c r="W91" s="330">
        <v>15</v>
      </c>
      <c r="X91" s="330">
        <v>11</v>
      </c>
      <c r="Y91" s="330">
        <v>4</v>
      </c>
      <c r="Z91" s="330">
        <v>4</v>
      </c>
      <c r="AB91" s="330">
        <v>0</v>
      </c>
      <c r="AC91" s="330">
        <v>1</v>
      </c>
      <c r="AD91" s="330">
        <v>3</v>
      </c>
      <c r="AE91" s="330">
        <v>14</v>
      </c>
      <c r="AF91" s="330">
        <v>42</v>
      </c>
      <c r="AG91" s="330">
        <v>30</v>
      </c>
      <c r="AH91" s="330">
        <v>29</v>
      </c>
      <c r="AI91" s="330">
        <v>9</v>
      </c>
      <c r="AJ91" s="330">
        <v>9</v>
      </c>
      <c r="AK91" s="330">
        <v>9</v>
      </c>
      <c r="AL91" s="330">
        <v>1</v>
      </c>
      <c r="AP91" s="330">
        <v>3</v>
      </c>
      <c r="AQ91" s="330">
        <v>8</v>
      </c>
      <c r="AR91" s="330">
        <v>86</v>
      </c>
      <c r="AS91" s="330">
        <v>96</v>
      </c>
      <c r="AT91" s="330">
        <v>39</v>
      </c>
      <c r="AU91" s="330">
        <v>451</v>
      </c>
    </row>
    <row customHeight="true" ht="13" r="92">
      <c r="A92" s="329"/>
      <c r="L92" s="329">
        <f t="shared" si="4"/>
      </c>
      <c r="M92" s="329">
        <f t="shared" si="0"/>
      </c>
      <c r="N92" s="329">
        <f t="shared" si="1"/>
      </c>
      <c r="O92" s="330">
        <v>91</v>
      </c>
      <c r="Q92" s="330">
        <v>0</v>
      </c>
      <c r="R92" s="330">
        <v>0</v>
      </c>
      <c r="S92" s="330">
        <v>1</v>
      </c>
      <c r="T92" s="330">
        <v>2</v>
      </c>
      <c r="U92" s="330">
        <v>11</v>
      </c>
      <c r="V92" s="330">
        <v>23</v>
      </c>
      <c r="W92" s="330">
        <v>14</v>
      </c>
      <c r="X92" s="330">
        <v>10</v>
      </c>
      <c r="Y92" s="330">
        <v>4</v>
      </c>
      <c r="Z92" s="330">
        <v>4</v>
      </c>
      <c r="AB92" s="330">
        <v>0</v>
      </c>
      <c r="AC92" s="330">
        <v>1</v>
      </c>
      <c r="AD92" s="330">
        <v>3</v>
      </c>
      <c r="AE92" s="330">
        <v>13</v>
      </c>
      <c r="AF92" s="330">
        <v>40</v>
      </c>
      <c r="AG92" s="330">
        <v>30</v>
      </c>
      <c r="AH92" s="330">
        <v>29</v>
      </c>
      <c r="AI92" s="330">
        <v>8</v>
      </c>
      <c r="AJ92" s="330">
        <v>8</v>
      </c>
      <c r="AK92" s="330">
        <v>8</v>
      </c>
      <c r="AL92" s="330">
        <v>1</v>
      </c>
      <c r="AP92" s="330">
        <v>2</v>
      </c>
      <c r="AQ92" s="330">
        <v>7</v>
      </c>
      <c r="AR92" s="330">
        <v>86</v>
      </c>
      <c r="AS92" s="330">
        <v>95</v>
      </c>
      <c r="AT92" s="330">
        <v>36</v>
      </c>
      <c r="AU92" s="330">
        <v>436</v>
      </c>
    </row>
    <row customHeight="true" ht="13" r="93">
      <c r="A93" s="329"/>
      <c r="L93" s="329">
        <f t="shared" si="4"/>
      </c>
      <c r="M93" s="329">
        <f t="shared" si="0"/>
      </c>
      <c r="N93" s="329">
        <f t="shared" si="1"/>
      </c>
      <c r="O93" s="330">
        <v>92</v>
      </c>
      <c r="Q93" s="330">
        <v>0</v>
      </c>
      <c r="S93" s="330">
        <v>1</v>
      </c>
      <c r="T93" s="330">
        <v>2</v>
      </c>
      <c r="U93" s="330">
        <v>9</v>
      </c>
      <c r="V93" s="330">
        <v>22</v>
      </c>
      <c r="W93" s="330">
        <v>14</v>
      </c>
      <c r="X93" s="330">
        <v>10</v>
      </c>
      <c r="Y93" s="330">
        <v>4</v>
      </c>
      <c r="Z93" s="330">
        <v>4</v>
      </c>
      <c r="AB93" s="330">
        <v>0</v>
      </c>
      <c r="AC93" s="330">
        <v>1</v>
      </c>
      <c r="AD93" s="330">
        <v>3</v>
      </c>
      <c r="AE93" s="330">
        <v>13</v>
      </c>
      <c r="AF93" s="330">
        <v>40</v>
      </c>
      <c r="AG93" s="330">
        <v>29</v>
      </c>
      <c r="AH93" s="330">
        <v>28</v>
      </c>
      <c r="AI93" s="330">
        <v>7</v>
      </c>
      <c r="AJ93" s="330">
        <v>7</v>
      </c>
      <c r="AK93" s="330">
        <v>8</v>
      </c>
      <c r="AL93" s="330">
        <v>1</v>
      </c>
      <c r="AP93" s="330">
        <v>2</v>
      </c>
      <c r="AQ93" s="330">
        <v>6</v>
      </c>
      <c r="AR93" s="330">
        <v>84</v>
      </c>
      <c r="AS93" s="330">
        <v>95</v>
      </c>
      <c r="AT93" s="330">
        <v>31</v>
      </c>
      <c r="AU93" s="330">
        <v>421</v>
      </c>
    </row>
    <row customHeight="true" ht="13" r="94">
      <c r="A94" s="329"/>
      <c r="L94" s="329">
        <f t="shared" si="4"/>
      </c>
      <c r="M94" s="329">
        <f t="shared" si="0"/>
      </c>
      <c r="N94" s="329">
        <f t="shared" si="1"/>
      </c>
      <c r="O94" s="330">
        <v>93</v>
      </c>
      <c r="Q94" s="330">
        <v>0</v>
      </c>
      <c r="S94" s="330">
        <v>1</v>
      </c>
      <c r="T94" s="330">
        <v>2</v>
      </c>
      <c r="U94" s="330">
        <v>9</v>
      </c>
      <c r="V94" s="330">
        <v>22</v>
      </c>
      <c r="W94" s="330">
        <v>13</v>
      </c>
      <c r="X94" s="330">
        <v>10</v>
      </c>
      <c r="Y94" s="330">
        <v>3</v>
      </c>
      <c r="Z94" s="330">
        <v>4</v>
      </c>
      <c r="AB94" s="330">
        <v>0</v>
      </c>
      <c r="AC94" s="330">
        <v>1</v>
      </c>
      <c r="AD94" s="330">
        <v>3</v>
      </c>
      <c r="AE94" s="330">
        <v>12</v>
      </c>
      <c r="AF94" s="330">
        <v>38</v>
      </c>
      <c r="AG94" s="330">
        <v>28</v>
      </c>
      <c r="AH94" s="330">
        <v>27</v>
      </c>
      <c r="AI94" s="330">
        <v>5</v>
      </c>
      <c r="AJ94" s="330">
        <v>6</v>
      </c>
      <c r="AK94" s="330">
        <v>7</v>
      </c>
      <c r="AL94" s="330">
        <v>1</v>
      </c>
      <c r="AP94" s="330">
        <v>2</v>
      </c>
      <c r="AQ94" s="330">
        <v>6</v>
      </c>
      <c r="AR94" s="330">
        <v>78</v>
      </c>
      <c r="AS94" s="330">
        <v>90</v>
      </c>
      <c r="AT94" s="330">
        <v>31</v>
      </c>
      <c r="AU94" s="330">
        <v>399</v>
      </c>
    </row>
    <row customHeight="true" ht="13" r="95">
      <c r="A95" s="329"/>
      <c r="L95" s="329">
        <f t="shared" si="4"/>
      </c>
      <c r="M95" s="329">
        <f t="shared" si="0"/>
      </c>
      <c r="N95" s="329">
        <f t="shared" si="1"/>
      </c>
      <c r="O95" s="330">
        <v>94</v>
      </c>
      <c r="Q95" s="330">
        <v>0</v>
      </c>
      <c r="S95" s="330">
        <v>1</v>
      </c>
      <c r="T95" s="330">
        <v>2</v>
      </c>
      <c r="U95" s="330">
        <v>8</v>
      </c>
      <c r="V95" s="330">
        <v>20</v>
      </c>
      <c r="W95" s="330">
        <v>13</v>
      </c>
      <c r="X95" s="330">
        <v>10</v>
      </c>
      <c r="Y95" s="330">
        <v>3</v>
      </c>
      <c r="Z95" s="330">
        <v>4</v>
      </c>
      <c r="AB95" s="330">
        <v>0</v>
      </c>
      <c r="AC95" s="330">
        <v>1</v>
      </c>
      <c r="AD95" s="330">
        <v>3</v>
      </c>
      <c r="AE95" s="330">
        <v>12</v>
      </c>
      <c r="AF95" s="330">
        <v>37</v>
      </c>
      <c r="AG95" s="330">
        <v>28</v>
      </c>
      <c r="AH95" s="330">
        <v>27</v>
      </c>
      <c r="AI95" s="330">
        <v>5</v>
      </c>
      <c r="AJ95" s="330">
        <v>6</v>
      </c>
      <c r="AK95" s="330">
        <v>7</v>
      </c>
      <c r="AL95" s="330">
        <v>0</v>
      </c>
      <c r="AP95" s="330">
        <v>2</v>
      </c>
      <c r="AQ95" s="330">
        <v>5</v>
      </c>
      <c r="AR95" s="330">
        <v>75</v>
      </c>
      <c r="AS95" s="330">
        <v>87</v>
      </c>
      <c r="AT95" s="330">
        <v>30</v>
      </c>
      <c r="AU95" s="330">
        <v>386</v>
      </c>
    </row>
    <row customHeight="true" ht="13" r="96">
      <c r="A96" s="329"/>
      <c r="L96" s="329">
        <f t="shared" si="4"/>
      </c>
      <c r="M96" s="329">
        <f t="shared" si="0"/>
      </c>
      <c r="N96" s="329">
        <f t="shared" si="1"/>
      </c>
      <c r="O96" s="330">
        <v>95</v>
      </c>
      <c r="Q96" s="330">
        <v>0</v>
      </c>
      <c r="S96" s="330">
        <v>1</v>
      </c>
      <c r="T96" s="330">
        <v>2</v>
      </c>
      <c r="U96" s="330">
        <v>8</v>
      </c>
      <c r="V96" s="330">
        <v>19</v>
      </c>
      <c r="W96" s="330">
        <v>13</v>
      </c>
      <c r="X96" s="330">
        <v>9</v>
      </c>
      <c r="Y96" s="330">
        <v>3</v>
      </c>
      <c r="Z96" s="330">
        <v>4</v>
      </c>
      <c r="AB96" s="330">
        <v>0</v>
      </c>
      <c r="AC96" s="330">
        <v>1</v>
      </c>
      <c r="AD96" s="330">
        <v>3</v>
      </c>
      <c r="AE96" s="330">
        <v>12</v>
      </c>
      <c r="AF96" s="330">
        <v>36</v>
      </c>
      <c r="AG96" s="330">
        <v>26</v>
      </c>
      <c r="AH96" s="330">
        <v>27</v>
      </c>
      <c r="AI96" s="330">
        <v>4</v>
      </c>
      <c r="AJ96" s="330">
        <v>5</v>
      </c>
      <c r="AK96" s="330">
        <v>7</v>
      </c>
      <c r="AL96" s="330">
        <v>0</v>
      </c>
      <c r="AP96" s="330">
        <v>2</v>
      </c>
      <c r="AQ96" s="330">
        <v>5</v>
      </c>
      <c r="AR96" s="330">
        <v>73</v>
      </c>
      <c r="AS96" s="330">
        <v>86</v>
      </c>
      <c r="AT96" s="330">
        <v>29</v>
      </c>
      <c r="AU96" s="330">
        <v>375</v>
      </c>
    </row>
    <row customHeight="true" ht="13" r="97">
      <c r="A97" s="329"/>
      <c r="L97" s="329">
        <f t="shared" si="4"/>
      </c>
      <c r="M97" s="329">
        <f t="shared" si="0"/>
      </c>
      <c r="N97" s="329">
        <f t="shared" si="1"/>
      </c>
      <c r="O97" s="330">
        <v>96</v>
      </c>
      <c r="Q97" s="330">
        <v>0</v>
      </c>
      <c r="S97" s="330">
        <v>1</v>
      </c>
      <c r="T97" s="330">
        <v>1</v>
      </c>
      <c r="U97" s="330">
        <v>8</v>
      </c>
      <c r="V97" s="330">
        <v>19</v>
      </c>
      <c r="W97" s="330">
        <v>13</v>
      </c>
      <c r="X97" s="330">
        <v>9</v>
      </c>
      <c r="Y97" s="330">
        <v>3</v>
      </c>
      <c r="Z97" s="330">
        <v>3</v>
      </c>
      <c r="AB97" s="330">
        <v>0</v>
      </c>
      <c r="AC97" s="330">
        <v>1</v>
      </c>
      <c r="AD97" s="330">
        <v>3</v>
      </c>
      <c r="AE97" s="330">
        <v>11</v>
      </c>
      <c r="AF97" s="330">
        <v>36</v>
      </c>
      <c r="AG97" s="330">
        <v>24</v>
      </c>
      <c r="AH97" s="330">
        <v>27</v>
      </c>
      <c r="AI97" s="330">
        <v>4</v>
      </c>
      <c r="AJ97" s="330">
        <v>5</v>
      </c>
      <c r="AK97" s="330">
        <v>6</v>
      </c>
      <c r="AL97" s="330">
        <v>0</v>
      </c>
      <c r="AP97" s="330">
        <v>2</v>
      </c>
      <c r="AQ97" s="330">
        <v>5</v>
      </c>
      <c r="AR97" s="330">
        <v>71</v>
      </c>
      <c r="AS97" s="330">
        <v>84</v>
      </c>
      <c r="AT97" s="330">
        <v>28</v>
      </c>
      <c r="AU97" s="330">
        <v>364</v>
      </c>
    </row>
    <row customHeight="true" ht="13" r="98">
      <c r="A98" s="329"/>
      <c r="L98" s="329">
        <f t="shared" si="4"/>
      </c>
      <c r="M98" s="329">
        <f t="shared" si="0"/>
      </c>
      <c r="N98" s="329">
        <f t="shared" si="1"/>
      </c>
      <c r="O98" s="330">
        <v>97</v>
      </c>
      <c r="Q98" s="330">
        <v>0</v>
      </c>
      <c r="S98" s="330">
        <v>1</v>
      </c>
      <c r="T98" s="330">
        <v>1</v>
      </c>
      <c r="U98" s="330">
        <v>7</v>
      </c>
      <c r="V98" s="330">
        <v>18</v>
      </c>
      <c r="W98" s="330">
        <v>12</v>
      </c>
      <c r="X98" s="330">
        <v>9</v>
      </c>
      <c r="Y98" s="330">
        <v>3</v>
      </c>
      <c r="Z98" s="330">
        <v>3</v>
      </c>
      <c r="AB98" s="330">
        <v>0</v>
      </c>
      <c r="AC98" s="330">
        <v>1</v>
      </c>
      <c r="AD98" s="330">
        <v>2</v>
      </c>
      <c r="AE98" s="330">
        <v>11</v>
      </c>
      <c r="AF98" s="330">
        <v>35</v>
      </c>
      <c r="AG98" s="330">
        <v>24</v>
      </c>
      <c r="AH98" s="330">
        <v>26</v>
      </c>
      <c r="AI98" s="330">
        <v>4</v>
      </c>
      <c r="AJ98" s="330">
        <v>4</v>
      </c>
      <c r="AK98" s="330">
        <v>6</v>
      </c>
      <c r="AL98" s="330">
        <v>0</v>
      </c>
      <c r="AP98" s="330">
        <v>1</v>
      </c>
      <c r="AQ98" s="330">
        <v>4</v>
      </c>
      <c r="AR98" s="330">
        <v>69</v>
      </c>
      <c r="AS98" s="330">
        <v>76</v>
      </c>
      <c r="AT98" s="330">
        <v>26</v>
      </c>
      <c r="AU98" s="330">
        <v>343</v>
      </c>
    </row>
    <row customHeight="true" ht="13" r="99">
      <c r="A99" s="329"/>
      <c r="L99" s="329">
        <f t="shared" si="4"/>
      </c>
      <c r="M99" s="329">
        <f t="shared" si="0"/>
      </c>
      <c r="N99" s="329">
        <f t="shared" si="1"/>
      </c>
      <c r="O99" s="330">
        <v>98</v>
      </c>
      <c r="Q99" s="330">
        <v>0</v>
      </c>
      <c r="S99" s="330">
        <v>1</v>
      </c>
      <c r="T99" s="330">
        <v>1</v>
      </c>
      <c r="U99" s="330">
        <v>7</v>
      </c>
      <c r="V99" s="330">
        <v>17</v>
      </c>
      <c r="W99" s="330">
        <v>12</v>
      </c>
      <c r="X99" s="330">
        <v>9</v>
      </c>
      <c r="Y99" s="330">
        <v>3</v>
      </c>
      <c r="Z99" s="330">
        <v>3</v>
      </c>
      <c r="AB99" s="330">
        <v>0</v>
      </c>
      <c r="AC99" s="330">
        <v>1</v>
      </c>
      <c r="AD99" s="330">
        <v>2</v>
      </c>
      <c r="AE99" s="330">
        <v>11</v>
      </c>
      <c r="AF99" s="330">
        <v>35</v>
      </c>
      <c r="AG99" s="330">
        <v>20</v>
      </c>
      <c r="AH99" s="330">
        <v>26</v>
      </c>
      <c r="AI99" s="330">
        <v>3</v>
      </c>
      <c r="AJ99" s="330">
        <v>4</v>
      </c>
      <c r="AK99" s="330">
        <v>6</v>
      </c>
      <c r="AL99" s="330">
        <v>0</v>
      </c>
      <c r="AP99" s="330">
        <v>1</v>
      </c>
      <c r="AQ99" s="330">
        <v>4</v>
      </c>
      <c r="AR99" s="330">
        <v>67</v>
      </c>
      <c r="AS99" s="330">
        <v>70</v>
      </c>
      <c r="AT99" s="330">
        <v>24</v>
      </c>
      <c r="AU99" s="330">
        <v>327</v>
      </c>
    </row>
    <row customHeight="true" ht="13" r="100">
      <c r="A100" s="329"/>
      <c r="L100" s="329">
        <f t="shared" si="4"/>
      </c>
      <c r="M100" s="329">
        <f t="shared" si="0"/>
      </c>
      <c r="N100" s="329">
        <f t="shared" si="1"/>
      </c>
      <c r="O100" s="330">
        <v>99</v>
      </c>
      <c r="Q100" s="330">
        <v>0</v>
      </c>
      <c r="S100" s="330">
        <v>1</v>
      </c>
      <c r="T100" s="330">
        <v>1</v>
      </c>
      <c r="U100" s="330">
        <v>6</v>
      </c>
      <c r="V100" s="330">
        <v>17</v>
      </c>
      <c r="W100" s="330">
        <v>11</v>
      </c>
      <c r="X100" s="330">
        <v>9</v>
      </c>
      <c r="Y100" s="330">
        <v>3</v>
      </c>
      <c r="Z100" s="330">
        <v>3</v>
      </c>
      <c r="AB100" s="330">
        <v>0</v>
      </c>
      <c r="AC100" s="330">
        <v>1</v>
      </c>
      <c r="AD100" s="330">
        <v>2</v>
      </c>
      <c r="AE100" s="330">
        <v>11</v>
      </c>
      <c r="AF100" s="330">
        <v>35</v>
      </c>
      <c r="AG100" s="330">
        <v>19</v>
      </c>
      <c r="AH100" s="330">
        <v>25</v>
      </c>
      <c r="AI100" s="330">
        <v>3</v>
      </c>
      <c r="AJ100" s="330">
        <v>4</v>
      </c>
      <c r="AK100" s="330">
        <v>6</v>
      </c>
      <c r="AL100" s="330">
        <v>0</v>
      </c>
      <c r="AQ100" s="330">
        <v>3</v>
      </c>
      <c r="AR100" s="330">
        <v>67</v>
      </c>
      <c r="AS100" s="330">
        <v>67</v>
      </c>
      <c r="AT100" s="330">
        <v>18</v>
      </c>
      <c r="AU100" s="330">
        <v>312</v>
      </c>
    </row>
    <row customHeight="true" ht="13" r="101">
      <c r="A101" s="329"/>
      <c r="L101" s="329">
        <f t="shared" si="4"/>
      </c>
      <c r="M101" s="329">
        <f t="shared" si="0"/>
      </c>
      <c r="N101" s="329">
        <f t="shared" si="1"/>
      </c>
      <c r="O101" s="330">
        <v>100</v>
      </c>
      <c r="Q101" s="330">
        <v>0</v>
      </c>
      <c r="S101" s="330">
        <v>1</v>
      </c>
      <c r="T101" s="330">
        <v>1</v>
      </c>
      <c r="U101" s="330">
        <v>6</v>
      </c>
      <c r="V101" s="330">
        <v>17</v>
      </c>
      <c r="W101" s="330">
        <v>11</v>
      </c>
      <c r="X101" s="330">
        <v>8</v>
      </c>
      <c r="Y101" s="330">
        <v>3</v>
      </c>
      <c r="Z101" s="330">
        <v>3</v>
      </c>
      <c r="AB101" s="330">
        <v>0</v>
      </c>
      <c r="AC101" s="330">
        <v>1</v>
      </c>
      <c r="AD101" s="330">
        <v>2</v>
      </c>
      <c r="AE101" s="330">
        <v>11</v>
      </c>
      <c r="AF101" s="330">
        <v>34</v>
      </c>
      <c r="AG101" s="330">
        <v>17</v>
      </c>
      <c r="AH101" s="330">
        <v>24</v>
      </c>
      <c r="AI101" s="330">
        <v>3</v>
      </c>
      <c r="AJ101" s="330">
        <v>3</v>
      </c>
      <c r="AK101" s="330">
        <v>6</v>
      </c>
      <c r="AL101" s="330">
        <v>0</v>
      </c>
      <c r="AQ101" s="330">
        <v>3</v>
      </c>
      <c r="AR101" s="330">
        <v>66</v>
      </c>
      <c r="AS101" s="330">
        <v>66</v>
      </c>
      <c r="AT101" s="330">
        <v>17</v>
      </c>
      <c r="AU101" s="330">
        <v>303</v>
      </c>
    </row>
    <row customHeight="true" ht="13" r="102">
      <c r="A102" s="329"/>
      <c r="L102" s="329">
        <f t="shared" si="4"/>
      </c>
      <c r="M102" s="329">
        <f t="shared" si="0"/>
      </c>
      <c r="N102" s="329">
        <f t="shared" si="1"/>
      </c>
      <c r="O102" s="330" t="s">
        <v>763</v>
      </c>
      <c r="P102" s="330">
        <v>383</v>
      </c>
      <c r="Q102" s="330">
        <v>751</v>
      </c>
      <c r="R102" s="330">
        <v>1766</v>
      </c>
      <c r="S102" s="330">
        <v>7124</v>
      </c>
      <c r="T102" s="330">
        <v>13700</v>
      </c>
      <c r="U102" s="330">
        <v>17223</v>
      </c>
      <c r="V102" s="330">
        <v>15318</v>
      </c>
      <c r="W102" s="330">
        <v>10099</v>
      </c>
      <c r="X102" s="330">
        <v>6218</v>
      </c>
      <c r="Y102" s="330">
        <v>3934</v>
      </c>
      <c r="Z102" s="330">
        <v>2952</v>
      </c>
      <c r="AA102" s="330">
        <v>1727</v>
      </c>
      <c r="AB102" s="330">
        <v>1930</v>
      </c>
      <c r="AC102" s="330">
        <v>3127</v>
      </c>
      <c r="AD102" s="330">
        <v>7279</v>
      </c>
      <c r="AE102" s="330">
        <v>18656</v>
      </c>
      <c r="AF102" s="330">
        <v>30996</v>
      </c>
      <c r="AG102" s="330">
        <v>29180</v>
      </c>
      <c r="AH102" s="330">
        <v>29992</v>
      </c>
      <c r="AI102" s="330">
        <v>20714</v>
      </c>
      <c r="AJ102" s="330">
        <v>20820</v>
      </c>
      <c r="AK102" s="330">
        <v>8516</v>
      </c>
      <c r="AL102" s="330">
        <v>5725</v>
      </c>
      <c r="AM102" s="330">
        <v>3917</v>
      </c>
      <c r="AN102" s="330">
        <v>3271</v>
      </c>
      <c r="AO102" s="330">
        <v>3985</v>
      </c>
      <c r="AP102" s="330">
        <v>8218</v>
      </c>
      <c r="AQ102" s="330">
        <v>18958</v>
      </c>
      <c r="AR102" s="330">
        <v>48114</v>
      </c>
      <c r="AS102" s="330">
        <v>41857</v>
      </c>
      <c r="AT102" s="330">
        <v>25007</v>
      </c>
      <c r="AU102" s="330">
        <v>411457</v>
      </c>
    </row>
    <row r="103">
      <c r="A103" s="329"/>
    </row>
    <row r="104">
      <c r="A104" s="329"/>
    </row>
    <row r="105">
      <c r="A105" s="329"/>
    </row>
    <row r="106">
      <c r="A106" s="329"/>
    </row>
    <row r="107">
      <c r="A107" s="329"/>
    </row>
    <row r="108">
      <c r="A108" s="329"/>
    </row>
    <row r="109">
      <c r="A109" s="329"/>
    </row>
    <row r="110">
      <c r="A110" s="329"/>
    </row>
    <row r="111">
      <c r="A111" s="329"/>
    </row>
    <row r="112">
      <c r="A112" s="329"/>
    </row>
    <row r="113">
      <c r="A113" s="329"/>
    </row>
    <row r="114">
      <c r="A114" s="329"/>
    </row>
    <row r="115">
      <c r="A115" s="329"/>
    </row>
    <row r="116">
      <c r="A116" s="329"/>
    </row>
    <row r="117">
      <c r="A117" s="329"/>
    </row>
    <row r="118">
      <c r="A118" s="329"/>
    </row>
    <row r="119">
      <c r="A119" s="329"/>
    </row>
    <row r="120">
      <c r="A120" s="329"/>
    </row>
    <row r="121">
      <c r="A121" s="329"/>
    </row>
    <row r="122">
      <c r="A122" s="329"/>
    </row>
    <row r="123">
      <c r="A123" s="329"/>
    </row>
    <row r="124">
      <c r="A124" s="329"/>
    </row>
    <row r="125">
      <c r="A125" s="329"/>
    </row>
    <row r="126">
      <c r="A126" s="329"/>
    </row>
    <row r="127">
      <c r="A127" s="329"/>
    </row>
    <row r="128">
      <c r="A128" s="329"/>
    </row>
    <row r="129">
      <c r="A129" s="329"/>
    </row>
    <row r="130">
      <c r="A130" s="329"/>
    </row>
    <row r="131">
      <c r="A131" s="329"/>
    </row>
    <row r="132">
      <c r="A132" s="329"/>
    </row>
    <row r="133">
      <c r="A133" s="329"/>
    </row>
    <row r="134">
      <c r="A134" s="329"/>
    </row>
    <row r="135">
      <c r="A135" s="329"/>
    </row>
    <row r="136">
      <c r="A136" s="329"/>
    </row>
    <row r="137">
      <c r="A137" s="329"/>
    </row>
    <row r="138">
      <c r="A138" s="329"/>
    </row>
    <row r="139">
      <c r="A139" s="329"/>
    </row>
    <row r="140">
      <c r="A140" s="329"/>
    </row>
    <row r="141">
      <c r="A141" s="329"/>
    </row>
    <row r="142">
      <c r="A142" s="329"/>
    </row>
    <row r="143">
      <c r="A143" s="329"/>
    </row>
    <row r="144">
      <c r="A144" s="329"/>
    </row>
    <row r="145">
      <c r="A145" s="329"/>
    </row>
    <row r="146">
      <c r="A146" s="329"/>
    </row>
    <row r="147">
      <c r="A147" s="329"/>
    </row>
    <row r="148">
      <c r="A148" s="329"/>
    </row>
    <row r="149">
      <c r="A149" s="329"/>
    </row>
    <row r="150">
      <c r="A150" s="329"/>
    </row>
    <row r="151">
      <c r="A151" s="329"/>
    </row>
    <row r="152">
      <c r="A152" s="329"/>
    </row>
    <row r="153">
      <c r="A153" s="329"/>
    </row>
    <row r="154">
      <c r="A154" s="329"/>
    </row>
    <row r="155">
      <c r="A155" s="329"/>
    </row>
    <row r="156">
      <c r="A156" s="329"/>
    </row>
    <row r="157">
      <c r="A157" s="329"/>
    </row>
    <row r="158">
      <c r="A158" s="329"/>
    </row>
    <row r="159">
      <c r="A159" s="329"/>
    </row>
    <row r="160">
      <c r="A160" s="329"/>
    </row>
    <row r="161">
      <c r="A161" s="329"/>
    </row>
    <row r="162">
      <c r="A162" s="329"/>
    </row>
    <row r="163">
      <c r="A163" s="329"/>
    </row>
    <row r="164">
      <c r="A164" s="329"/>
    </row>
    <row r="165">
      <c r="A165" s="329"/>
    </row>
    <row r="166">
      <c r="A166" s="329"/>
    </row>
    <row r="167">
      <c r="A167" s="329"/>
    </row>
    <row r="168">
      <c r="A168" s="329"/>
    </row>
    <row r="169">
      <c r="A169" s="329"/>
    </row>
    <row r="170">
      <c r="A170" s="329"/>
    </row>
    <row r="171">
      <c r="A171" s="329"/>
    </row>
    <row r="172">
      <c r="A172" s="329"/>
    </row>
    <row r="173">
      <c r="A173" s="329"/>
    </row>
    <row r="174">
      <c r="A174" s="329"/>
    </row>
    <row r="175">
      <c r="A175" s="329"/>
    </row>
    <row r="176">
      <c r="A176" s="329"/>
    </row>
    <row r="177">
      <c r="A177" s="329"/>
    </row>
    <row r="178">
      <c r="A178" s="329"/>
    </row>
    <row r="179">
      <c r="A179" s="329"/>
    </row>
    <row r="180">
      <c r="A180" s="329"/>
    </row>
    <row r="181">
      <c r="A181" s="329"/>
    </row>
    <row r="182">
      <c r="A182" s="329"/>
    </row>
    <row r="183">
      <c r="A183" s="329"/>
    </row>
    <row r="184">
      <c r="A184" s="329"/>
    </row>
    <row r="185">
      <c r="A185" s="329"/>
    </row>
    <row r="186">
      <c r="A186" s="329"/>
    </row>
    <row r="187">
      <c r="A187" s="329"/>
    </row>
    <row r="188">
      <c r="A188" s="329"/>
    </row>
    <row r="189">
      <c r="A189" s="329"/>
    </row>
    <row r="190">
      <c r="A190" s="329"/>
    </row>
    <row r="191">
      <c r="A191" s="329"/>
    </row>
    <row r="192">
      <c r="A192" s="329"/>
    </row>
    <row r="193">
      <c r="A193" s="329"/>
    </row>
    <row r="194">
      <c r="A194" s="329"/>
    </row>
    <row r="195">
      <c r="A195" s="329"/>
    </row>
    <row r="196">
      <c r="A196" s="329"/>
    </row>
    <row r="197">
      <c r="A197" s="329"/>
    </row>
    <row r="198">
      <c r="A198" s="329"/>
    </row>
    <row r="199">
      <c r="A199" s="329"/>
    </row>
    <row r="200">
      <c r="A200" s="329"/>
    </row>
  </sheetData>
  <autoFilter ref="K1:AU102"/>
  <pageMargins bottom="1" footer="0.5" header="0.5" left="0.75" right="0.75" top="1"/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6"/>
  <cols>
    <col collapsed="false" customWidth="true" hidden="false" max="1" min="1" style="0" width="10"/>
  </cols>
  <sheetData>
    <row r="1">
      <c r="A1" s="336" t="s">
        <v>770</v>
      </c>
      <c r="B1" s="337">
        <v>82255</v>
      </c>
    </row>
    <row r="2">
      <c r="A2" s="336" t="s">
        <v>771</v>
      </c>
      <c r="B2" s="338">
        <f>20381-9519</f>
      </c>
      <c r="C2" s="339"/>
    </row>
    <row r="3">
      <c r="A3" s="340" t="s">
        <v>772</v>
      </c>
      <c r="B3">
        <f>B1-B2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