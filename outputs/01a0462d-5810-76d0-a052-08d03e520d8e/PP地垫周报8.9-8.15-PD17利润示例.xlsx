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be90a6b11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17利润示例" sheetId="1" r:id="Rd5a7d41edd53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#,##0"/>
    <x:numFmt numFmtId="203" formatCode="0.00%"/>
    <x:numFmt numFmtId="204" formatCode="$#,##0.00;[Red]-$#,##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</x:fills>
  <x:borders count="9">
    <x:border/>
    <x:border>
      <x:left style="thin">
        <x:color rgb="FF9EBDD5"/>
      </x:left>
      <x:top style="thin">
        <x:color rgb="FF9EBDD5"/>
      </x:top>
      <x:bottom style="thin">
        <x:color rgb="FF9EBDD5"/>
      </x:bottom>
    </x:border>
    <x:border>
      <x:top style="thin">
        <x:color rgb="FF9EBDD5"/>
      </x:top>
      <x:bottom style="thin">
        <x:color rgb="FF9EBDD5"/>
      </x:bottom>
    </x:border>
    <x:border>
      <x:right style="thin">
        <x:color rgb="FF9EBDD5"/>
      </x:right>
      <x:top style="thin">
        <x:color rgb="FF9EBDD5"/>
      </x:top>
      <x:bottom style="thin">
        <x:color rgb="FF9EBDD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6AA84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2" fontId="5" fillId="6" borderId="5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203" fontId="0" fillId="0" borderId="8" xfId="0" applyNumberFormat="1" applyFont="1" applyFill="1" applyBorder="1"/>
    <x:xf numFmtId="204" fontId="0" fillId="0" borderId="6" xfId="0" applyNumberFormat="1" applyFont="1" applyFill="1" applyBorder="1"/>
    <x:xf numFmtId="204" fontId="0" fillId="0" borderId="7" xfId="0" applyNumberFormat="1" applyFont="1" applyFill="1" applyBorder="1"/>
    <x:xf numFmtId="204" fontId="0" fillId="0" borderId="8" xfId="0" applyNumberFormat="1" applyFont="1" applyFill="1" applyBorder="1"/>
    <x:xf numFmtId="204" fontId="5" fillId="6" borderId="5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a697003124658" /><Relationship Type="http://schemas.openxmlformats.org/officeDocument/2006/relationships/theme" Target="/xl/theme/theme1.xml" Id="R53ab20e6109e424f" /><Relationship Type="http://schemas.openxmlformats.org/officeDocument/2006/relationships/sharedStrings" Target="/xl/sharedStrings.xml" Id="R9b33c080ac1842ff" /><Relationship Type="http://schemas.openxmlformats.org/officeDocument/2006/relationships/worksheet" Target="/xl/worksheets/sheet1.xml" Id="Rd5a7d41edd53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1" hidden="0" customWidth="1"/>
    <x:col min="4" max="4" width="16" hidden="0" customWidth="1"/>
    <x:col min="5" max="5" width="14" hidden="0" customWidth="1"/>
    <x:col min="6" max="6" width="10" hidden="0" customWidth="1"/>
    <x:col min="7" max="7" width="13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10" hidden="0" customWidth="1"/>
    <x:col min="18" max="18" width="14" hidden="0" customWidth="1"/>
  </x:cols>
  <x:sheetData>
    <x:row r="1" ht="30" customHeight="1">
      <x:c r="A1" s="2" t="str">
        <x:v>PD17 · 7天SKU利润计算示例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5" t="str">
        <x:v>美元汇率</x:v>
      </x:c>
      <x:c r="B2" s="6" t="n">
        <x:v>6.8</x:v>
      </x:c>
      <x:c r="C2" s="6" t="str">
        <x:v>关税率</x:v>
      </x:c>
      <x:c r="D2" s="8" t="n">
        <x:v>0.25</x:v>
      </x:c>
      <x:c r="E2" s="8" t="str">
        <x:v>进口税率</x:v>
      </x:c>
      <x:c r="F2" s="8" t="n">
        <x:v>0.19</x:v>
      </x:c>
      <x:c r="G2" s="6" t="str">
        <x:v>仓储$/ft³</x:v>
      </x:c>
      <x:c r="H2" s="6" t="n">
        <x:v>0.78</x:v>
      </x:c>
      <x:c r="I2" s="6" t="str">
        <x:v>无体积仓储率</x:v>
      </x:c>
      <x:c r="J2" s="8" t="n">
        <x:v>0.04</x:v>
      </x:c>
      <x:c r="K2" s="8" t="str">
        <x:v>佣金率</x:v>
      </x:c>
      <x:c r="L2" s="8" t="n">
        <x:v>0.15</x:v>
      </x:c>
      <x:c r="M2" s="6" t="str">
        <x:v>最低佣金$</x:v>
      </x:c>
      <x:c r="N2" s="7" t="n">
        <x:v>0.3</x:v>
      </x:c>
    </x:row>
    <x:row r="3">
      <x:c r="A3" s="10" t="str">
        <x:v>口径：SKU利润 =（净成交价 − 采购成本 − 头程 − 尾程 − 进口税 − 仓储 − 佣金）× 7天销量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 ht="32" customHeight="1">
      <x:c r="A4" s="14" t="str">
        <x:v>ASIN</x:v>
      </x:c>
      <x:c r="B4" s="14" t="str">
        <x:v>SKU</x:v>
      </x:c>
      <x:c r="C4" s="14" t="str">
        <x:v>正常售价$</x:v>
      </x:c>
      <x:c r="D4" s="14" t="str">
        <x:v>本周折扣形式</x:v>
      </x:c>
      <x:c r="E4" s="14" t="str">
        <x:v>折扣%/调后价</x:v>
      </x:c>
      <x:c r="F4" s="14" t="str">
        <x:v>7天销量</x:v>
      </x:c>
      <x:c r="G4" s="14" t="str">
        <x:v>采购成本RMB</x:v>
      </x:c>
      <x:c r="H4" s="14" t="str">
        <x:v>头程$</x:v>
      </x:c>
      <x:c r="I4" s="14" t="str">
        <x:v>尾程$</x:v>
      </x:c>
      <x:c r="J4" s="14" t="str">
        <x:v>体积ft³</x:v>
      </x:c>
      <x:c r="K4" s="14" t="str">
        <x:v>净成交价$</x:v>
      </x:c>
      <x:c r="L4" s="14" t="str">
        <x:v>采购成本$</x:v>
      </x:c>
      <x:c r="M4" s="14" t="str">
        <x:v>进口税$</x:v>
      </x:c>
      <x:c r="N4" s="14" t="str">
        <x:v>仓储$</x:v>
      </x:c>
      <x:c r="O4" s="14" t="str">
        <x:v>佣金$</x:v>
      </x:c>
      <x:c r="P4" s="14" t="str">
        <x:v>单件利润$</x:v>
      </x:c>
      <x:c r="Q4" s="14" t="str">
        <x:v>利润率</x:v>
      </x:c>
      <x:c r="R4" s="14" t="str">
        <x:v>SKU利润$</x:v>
      </x:c>
    </x:row>
    <x:row r="5">
      <x:c r="A5" s="18" t="str">
        <x:v>B0CLRVSVXG</x:v>
      </x:c>
      <x:c r="B5" s="18" t="str">
        <x:v>PD17-grey&amp;white-2.5x8</x:v>
      </x:c>
      <x:c r="C5" s="21" t="n">
        <x:v>31.99</x:v>
      </x:c>
      <x:c r="D5" s="21" t="str">
        <x:v>价格折扣</x:v>
      </x:c>
      <x:c r="E5" s="21" t="n">
        <x:v>0.1</x:v>
      </x:c>
      <x:c r="F5" s="24" t="n">
        <x:v>21</x:v>
      </x:c>
      <x:c r="G5" s="21" t="n">
        <x:v>34.05</x:v>
      </x:c>
      <x:c r="H5" s="21" t="n">
        <x:v>1.47</x:v>
      </x:c>
      <x:c r="I5" s="21" t="n">
        <x:v>7.688802701702446</x:v>
      </x:c>
      <x:c r="J5" s="21" t="n">
        <x:v>0</x:v>
      </x:c>
      <x:c r="K5" s="21" t="n">
        <x:f>IF(D5="原价调整",E5,IF(OR(E5="",E5=0),C5,C5*(1-E5)))</x:f>
        <x:v>28.791</x:v>
      </x:c>
      <x:c r="L5" s="21" t="n">
        <x:f>IFERROR(G5/$B$2,0)</x:f>
        <x:v>5.00735294117647</x:v>
      </x:c>
      <x:c r="M5" s="21" t="n">
        <x:f>L5*$D$2*$F$2</x:f>
        <x:v>0.23784926470588233</x:v>
      </x:c>
      <x:c r="N5" s="21" t="n">
        <x:f>IF(J5&gt;0,J5*$H$2,K5*$J$2)</x:f>
        <x:v>1.15164</x:v>
      </x:c>
      <x:c r="O5" s="21" t="n">
        <x:f>MAX(K5*$L$2,$N$2)</x:f>
        <x:v>4.31865</x:v>
      </x:c>
      <x:c r="P5" s="21" t="n">
        <x:f>K5-L5-H5-I5-M5-N5-O5</x:f>
        <x:v>8.916705092415201</x:v>
      </x:c>
      <x:c r="Q5" s="28" t="n">
        <x:f>IF(K5&gt;0,P5/K5,0)</x:f>
        <x:v>0.30970459839585984</x:v>
      </x:c>
      <x:c r="R5" s="31" t="n">
        <x:f>ROUND(P5*F5,2)</x:f>
        <x:v>187.25</x:v>
      </x:c>
    </x:row>
    <x:row r="6">
      <x:c r="A6" s="19" t="str">
        <x:v>B0CLRXK3N9</x:v>
      </x:c>
      <x:c r="B6" s="19" t="str">
        <x:v>PD17-grey&amp;white-3x5</x:v>
      </x:c>
      <x:c r="C6" s="22" t="n">
        <x:v>30.99</x:v>
      </x:c>
      <x:c r="D6" s="22" t="str"/>
      <x:c r="E6" s="22"/>
      <x:c r="F6" s="25" t="n">
        <x:v>10</x:v>
      </x:c>
      <x:c r="G6" s="22" t="n">
        <x:v>28</x:v>
      </x:c>
      <x:c r="H6" s="22" t="n">
        <x:v>0.98</x:v>
      </x:c>
      <x:c r="I6" s="22" t="n">
        <x:v>7.136987449222446</x:v>
      </x:c>
      <x:c r="J6" s="22" t="n">
        <x:v>0</x:v>
      </x:c>
      <x:c r="K6" s="22" t="n">
        <x:f>IF(D6="原价调整",E6,IF(OR(E6="",E6=0),C6,C6*(1-E6)))</x:f>
        <x:v>30.99</x:v>
      </x:c>
      <x:c r="L6" s="22" t="n">
        <x:f>IFERROR(G6/$B$2,0)</x:f>
        <x:v>4.11764705882353</x:v>
      </x:c>
      <x:c r="M6" s="22" t="n">
        <x:f>L6*$D$2*$F$2</x:f>
        <x:v>0.19558823529411767</x:v>
      </x:c>
      <x:c r="N6" s="22" t="n">
        <x:f>IF(J6&gt;0,J6*$H$2,K6*$J$2)</x:f>
        <x:v>1.2396</x:v>
      </x:c>
      <x:c r="O6" s="22" t="n">
        <x:f>MAX(K6*$L$2,$N$2)</x:f>
        <x:v>4.648499999999999</x:v>
      </x:c>
      <x:c r="P6" s="22" t="n">
        <x:f>K6-L6-H6-I6-M6-N6-O6</x:f>
        <x:v>12.671677256659908</x:v>
      </x:c>
      <x:c r="Q6" s="29" t="n">
        <x:f>IF(K6&gt;0,P6/K6,0)</x:f>
        <x:v>0.40889568430654755</x:v>
      </x:c>
      <x:c r="R6" s="32" t="n">
        <x:f>ROUND(P6*F6,2)</x:f>
        <x:v>126.72</x:v>
      </x:c>
    </x:row>
    <x:row r="7">
      <x:c r="A7" s="19" t="str">
        <x:v>B0CLRWWP8V</x:v>
      </x:c>
      <x:c r="B7" s="19" t="str">
        <x:v>PD17-grey&amp;white-4x6</x:v>
      </x:c>
      <x:c r="C7" s="22" t="n">
        <x:v>29.99</x:v>
      </x:c>
      <x:c r="D7" s="22" t="str">
        <x:v>价格折扣</x:v>
      </x:c>
      <x:c r="E7" s="22" t="n">
        <x:v>0.2</x:v>
      </x:c>
      <x:c r="F7" s="25" t="n">
        <x:v>47</x:v>
      </x:c>
      <x:c r="G7" s="22" t="n">
        <x:v>35</x:v>
      </x:c>
      <x:c r="H7" s="22" t="n">
        <x:v>1.34</x:v>
      </x:c>
      <x:c r="I7" s="22" t="n">
        <x:v>7.572854957122302</x:v>
      </x:c>
      <x:c r="J7" s="22" t="n">
        <x:v>0</x:v>
      </x:c>
      <x:c r="K7" s="22" t="n">
        <x:f>IF(D7="原价调整",E7,IF(OR(E7="",E7=0),C7,C7*(1-E7)))</x:f>
        <x:v>23.992</x:v>
      </x:c>
      <x:c r="L7" s="22" t="n">
        <x:f>IFERROR(G7/$B$2,0)</x:f>
        <x:v>5.147058823529412</x:v>
      </x:c>
      <x:c r="M7" s="22" t="n">
        <x:f>L7*$D$2*$F$2</x:f>
        <x:v>0.24448529411764708</x:v>
      </x:c>
      <x:c r="N7" s="22" t="n">
        <x:f>IF(J7&gt;0,J7*$H$2,K7*$J$2)</x:f>
        <x:v>0.9596800000000001</x:v>
      </x:c>
      <x:c r="O7" s="22" t="n">
        <x:f>MAX(K7*$L$2,$N$2)</x:f>
        <x:v>3.5988</x:v>
      </x:c>
      <x:c r="P7" s="22" t="n">
        <x:f>K7-L7-H7-I7-M7-N7-O7</x:f>
        <x:v>5.129120925230637</x:v>
      </x:c>
      <x:c r="Q7" s="29" t="n">
        <x:f>IF(K7&gt;0,P7/K7,0)</x:f>
        <x:v>0.21378463342908624</x:v>
      </x:c>
      <x:c r="R7" s="32" t="n">
        <x:f>ROUND(P7*F7,2)</x:f>
        <x:v>241.07</x:v>
      </x:c>
    </x:row>
    <x:row r="8">
      <x:c r="A8" s="19" t="str">
        <x:v>B0BNBTFNLX</x:v>
      </x:c>
      <x:c r="B8" s="19" t="str">
        <x:v>PD17-grey&amp;white-5x8</x:v>
      </x:c>
      <x:c r="C8" s="22" t="n">
        <x:v>39.99</x:v>
      </x:c>
      <x:c r="D8" s="22" t="str">
        <x:v>价格折扣</x:v>
      </x:c>
      <x:c r="E8" s="22" t="n">
        <x:v>0.5002</x:v>
      </x:c>
      <x:c r="F8" s="25" t="n">
        <x:v>398</x:v>
      </x:c>
      <x:c r="G8" s="22" t="n">
        <x:v>50</x:v>
      </x:c>
      <x:c r="H8" s="22" t="n">
        <x:v>2.3</x:v>
      </x:c>
      <x:c r="I8" s="22" t="n">
        <x:v>8.737796706421872</x:v>
      </x:c>
      <x:c r="J8" s="22" t="n">
        <x:v>0</x:v>
      </x:c>
      <x:c r="K8" s="22" t="n">
        <x:f>IF(D8="原价调整",E8,IF(OR(E8="",E8=0),C8,C8*(1-E8)))</x:f>
        <x:v>19.987002</x:v>
      </x:c>
      <x:c r="L8" s="22" t="n">
        <x:f>IFERROR(G8/$B$2,0)</x:f>
        <x:v>7.352941176470589</x:v>
      </x:c>
      <x:c r="M8" s="22" t="n">
        <x:f>L8*$D$2*$F$2</x:f>
        <x:v>0.349264705882353</x:v>
      </x:c>
      <x:c r="N8" s="22" t="n">
        <x:f>IF(J8&gt;0,J8*$H$2,K8*$J$2)</x:f>
        <x:v>0.79948008</x:v>
      </x:c>
      <x:c r="O8" s="22" t="n">
        <x:f>MAX(K8*$L$2,$N$2)</x:f>
        <x:v>2.9980503</x:v>
      </x:c>
      <x:c r="P8" s="22" t="n">
        <x:f>K8-L8-H8-I8-M8-N8-O8</x:f>
        <x:v>-2.550530968774812</x:v>
      </x:c>
      <x:c r="Q8" s="29" t="n">
        <x:f>IF(K8&gt;0,P8/K8,0)</x:f>
        <x:v>-0.12760948184098905</x:v>
      </x:c>
      <x:c r="R8" s="32" t="n">
        <x:f>ROUND(P8*F8,2)</x:f>
        <x:v>-1015.11</x:v>
      </x:c>
    </x:row>
    <x:row r="9">
      <x:c r="A9" s="19" t="str">
        <x:v>B0BNBRZ7NY</x:v>
      </x:c>
      <x:c r="B9" s="19" t="str">
        <x:v>PD17-grey&amp;white-6x9NEW</x:v>
      </x:c>
      <x:c r="C9" s="22" t="n">
        <x:v>49.99</x:v>
      </x:c>
      <x:c r="D9" s="22" t="str">
        <x:v>价格折扣</x:v>
      </x:c>
      <x:c r="E9" s="22" t="n">
        <x:v>0.2</x:v>
      </x:c>
      <x:c r="F9" s="25" t="n">
        <x:v>60</x:v>
      </x:c>
      <x:c r="G9" s="22" t="n">
        <x:v>62.5</x:v>
      </x:c>
      <x:c r="H9" s="22" t="n">
        <x:v>3.66</x:v>
      </x:c>
      <x:c r="I9" s="22" t="n">
        <x:v>10.285513500859857</x:v>
      </x:c>
      <x:c r="J9" s="22" t="n">
        <x:v>0</x:v>
      </x:c>
      <x:c r="K9" s="22" t="n">
        <x:f>IF(D9="原价调整",E9,IF(OR(E9="",E9=0),C9,C9*(1-E9)))</x:f>
        <x:v>39.992000000000004</x:v>
      </x:c>
      <x:c r="L9" s="22" t="n">
        <x:f>IFERROR(G9/$B$2,0)</x:f>
        <x:v>9.191176470588236</x:v>
      </x:c>
      <x:c r="M9" s="22" t="n">
        <x:f>L9*$D$2*$F$2</x:f>
        <x:v>0.4365808823529412</x:v>
      </x:c>
      <x:c r="N9" s="22" t="n">
        <x:f>IF(J9&gt;0,J9*$H$2,K9*$J$2)</x:f>
        <x:v>1.5996800000000002</x:v>
      </x:c>
      <x:c r="O9" s="22" t="n">
        <x:f>MAX(K9*$L$2,$N$2)</x:f>
        <x:v>5.9988</x:v>
      </x:c>
      <x:c r="P9" s="22" t="n">
        <x:f>K9-L9-H9-I9-M9-N9-O9</x:f>
        <x:v>8.820249146198972</x:v>
      </x:c>
      <x:c r="Q9" s="29" t="n">
        <x:f>IF(K9&gt;0,P9/K9,0)</x:f>
        <x:v>0.22055033872271881</x:v>
      </x:c>
      <x:c r="R9" s="32" t="n">
        <x:f>ROUND(P9*F9,2)</x:f>
        <x:v>529.21</x:v>
      </x:c>
    </x:row>
    <x:row r="10">
      <x:c r="A10" s="19" t="str">
        <x:v>B0CLRVPDJT</x:v>
      </x:c>
      <x:c r="B10" s="19" t="str">
        <x:v>PD17-grey&amp;white-8R</x:v>
      </x:c>
      <x:c r="C10" s="22" t="n">
        <x:v>69.99</x:v>
      </x:c>
      <x:c r="D10" s="22" t="str"/>
      <x:c r="E10" s="22"/>
      <x:c r="F10" s="25" t="n">
        <x:v>0</x:v>
      </x:c>
      <x:c r="G10" s="22" t="n">
        <x:v>77.5</x:v>
      </x:c>
      <x:c r="H10" s="22" t="n">
        <x:v>3.59</x:v>
      </x:c>
      <x:c r="I10" s="22" t="n">
        <x:v>14.12711356208806</x:v>
      </x:c>
      <x:c r="J10" s="22" t="n">
        <x:v>0</x:v>
      </x:c>
      <x:c r="K10" s="22" t="n">
        <x:f>IF(D10="原价调整",E10,IF(OR(E10="",E10=0),C10,C10*(1-E10)))</x:f>
        <x:v>69.99</x:v>
      </x:c>
      <x:c r="L10" s="22" t="n">
        <x:f>IFERROR(G10/$B$2,0)</x:f>
        <x:v>11.397058823529411</x:v>
      </x:c>
      <x:c r="M10" s="22" t="n">
        <x:f>L10*$D$2*$F$2</x:f>
        <x:v>0.5413602941176471</x:v>
      </x:c>
      <x:c r="N10" s="22" t="n">
        <x:f>IF(J10&gt;0,J10*$H$2,K10*$J$2)</x:f>
        <x:v>2.7996</x:v>
      </x:c>
      <x:c r="O10" s="22" t="n">
        <x:f>MAX(K10*$L$2,$N$2)</x:f>
        <x:v>10.498499999999998</x:v>
      </x:c>
      <x:c r="P10" s="22" t="n">
        <x:f>K10-L10-H10-I10-M10-N10-O10</x:f>
        <x:v>27.036367320264887</x:v>
      </x:c>
      <x:c r="Q10" s="29" t="n">
        <x:f>IF(K10&gt;0,P10/K10,0)</x:f>
        <x:v>0.3862890030042133</x:v>
      </x:c>
      <x:c r="R10" s="32" t="n">
        <x:f>ROUND(P10*F10,2)</x:f>
        <x:v>0</x:v>
      </x:c>
    </x:row>
    <x:row r="11">
      <x:c r="A11" s="19" t="str">
        <x:v>B0BNBXCFSY</x:v>
      </x:c>
      <x:c r="B11" s="19" t="str">
        <x:v>PD17-grey&amp;white-8x10NEW</x:v>
      </x:c>
      <x:c r="C11" s="22" t="n">
        <x:v>79.99</x:v>
      </x:c>
      <x:c r="D11" s="22" t="str">
        <x:v>价格折扣</x:v>
      </x:c>
      <x:c r="E11" s="22" t="n">
        <x:v>0.15</x:v>
      </x:c>
      <x:c r="F11" s="25" t="n">
        <x:v>24</x:v>
      </x:c>
      <x:c r="G11" s="22" t="n">
        <x:v>89</x:v>
      </x:c>
      <x:c r="H11" s="22" t="n">
        <x:v>5.4</x:v>
      </x:c>
      <x:c r="I11" s="22" t="n">
        <x:v>12.194666387117124</x:v>
      </x:c>
      <x:c r="J11" s="22" t="n">
        <x:v>0</x:v>
      </x:c>
      <x:c r="K11" s="22" t="n">
        <x:f>IF(D11="原价调整",E11,IF(OR(E11="",E11=0),C11,C11*(1-E11)))</x:f>
        <x:v>67.99149999999999</x:v>
      </x:c>
      <x:c r="L11" s="22" t="n">
        <x:f>IFERROR(G11/$B$2,0)</x:f>
        <x:v>13.088235294117647</x:v>
      </x:c>
      <x:c r="M11" s="22" t="n">
        <x:f>L11*$D$2*$F$2</x:f>
        <x:v>0.6216911764705882</x:v>
      </x:c>
      <x:c r="N11" s="22" t="n">
        <x:f>IF(J11&gt;0,J11*$H$2,K11*$J$2)</x:f>
        <x:v>2.7196599999999997</x:v>
      </x:c>
      <x:c r="O11" s="22" t="n">
        <x:f>MAX(K11*$L$2,$N$2)</x:f>
        <x:v>10.198724999999998</x:v>
      </x:c>
      <x:c r="P11" s="22" t="n">
        <x:f>K11-L11-H11-I11-M11-N11-O11</x:f>
        <x:v>23.768522142294636</x:v>
      </x:c>
      <x:c r="Q11" s="29" t="n">
        <x:f>IF(K11&gt;0,P11/K11,0)</x:f>
        <x:v>0.34958078792635316</x:v>
      </x:c>
      <x:c r="R11" s="32" t="n">
        <x:f>ROUND(P11*F11,2)</x:f>
        <x:v>570.44</x:v>
      </x:c>
    </x:row>
    <x:row r="12">
      <x:c r="A12" s="19" t="str">
        <x:v>B0CLRWHKT2</x:v>
      </x:c>
      <x:c r="B12" s="19" t="str">
        <x:v>PD17-grey&amp;white-8x16</x:v>
      </x:c>
      <x:c r="C12" s="22" t="n">
        <x:v>106.99</x:v>
      </x:c>
      <x:c r="D12" s="22" t="str">
        <x:v>价格折扣</x:v>
      </x:c>
      <x:c r="E12" s="22" t="n">
        <x:v>0.1</x:v>
      </x:c>
      <x:c r="F12" s="25" t="n">
        <x:v>10</x:v>
      </x:c>
      <x:c r="G12" s="22" t="n">
        <x:v>129.5</x:v>
      </x:c>
      <x:c r="H12" s="22" t="n">
        <x:v>7.51</x:v>
      </x:c>
      <x:c r="I12" s="22" t="n">
        <x:v>20.0042174480023</x:v>
      </x:c>
      <x:c r="J12" s="22" t="n">
        <x:v>0</x:v>
      </x:c>
      <x:c r="K12" s="22" t="n">
        <x:f>IF(D12="原价调整",E12,IF(OR(E12="",E12=0),C12,C12*(1-E12)))</x:f>
        <x:v>96.291</x:v>
      </x:c>
      <x:c r="L12" s="22" t="n">
        <x:f>IFERROR(G12/$B$2,0)</x:f>
        <x:v>19.044117647058822</x:v>
      </x:c>
      <x:c r="M12" s="22" t="n">
        <x:f>L12*$D$2*$F$2</x:f>
        <x:v>0.9045955882352941</x:v>
      </x:c>
      <x:c r="N12" s="22" t="n">
        <x:f>IF(J12&gt;0,J12*$H$2,K12*$J$2)</x:f>
        <x:v>3.85164</x:v>
      </x:c>
      <x:c r="O12" s="22" t="n">
        <x:f>MAX(K12*$L$2,$N$2)</x:f>
        <x:v>14.443649999999998</x:v>
      </x:c>
      <x:c r="P12" s="22" t="n">
        <x:f>K12-L12-H12-I12-M12-N12-O12</x:f>
        <x:v>30.532779316703568</x:v>
      </x:c>
      <x:c r="Q12" s="29" t="n">
        <x:f>IF(K12&gt;0,P12/K12,0)</x:f>
        <x:v>0.31708860970083985</x:v>
      </x:c>
      <x:c r="R12" s="32" t="n">
        <x:f>ROUND(P12*F12,2)</x:f>
        <x:v>305.33</x:v>
      </x:c>
    </x:row>
    <x:row r="13">
      <x:c r="A13" s="19" t="str">
        <x:v>B0BNBV3123</x:v>
      </x:c>
      <x:c r="B13" s="19" t="str">
        <x:v>PD17-grey&amp;white-9x12</x:v>
      </x:c>
      <x:c r="C13" s="22" t="n">
        <x:v>89.99</x:v>
      </x:c>
      <x:c r="D13" s="22" t="str">
        <x:v>价格折扣</x:v>
      </x:c>
      <x:c r="E13" s="22" t="n">
        <x:v>0.25</x:v>
      </x:c>
      <x:c r="F13" s="25" t="n">
        <x:v>23</x:v>
      </x:c>
      <x:c r="G13" s="22" t="n">
        <x:v>109</x:v>
      </x:c>
      <x:c r="H13" s="22" t="n">
        <x:v>7.22</x:v>
      </x:c>
      <x:c r="I13" s="22" t="n">
        <x:v>19.412041751500432</x:v>
      </x:c>
      <x:c r="J13" s="22" t="n">
        <x:v>0</x:v>
      </x:c>
      <x:c r="K13" s="22" t="n">
        <x:f>IF(D13="原价调整",E13,IF(OR(E13="",E13=0),C13,C13*(1-E13)))</x:f>
        <x:v>67.49249999999999</x:v>
      </x:c>
      <x:c r="L13" s="22" t="n">
        <x:f>IFERROR(G13/$B$2,0)</x:f>
        <x:v>16.029411764705884</x:v>
      </x:c>
      <x:c r="M13" s="22" t="n">
        <x:f>L13*$D$2*$F$2</x:f>
        <x:v>0.7613970588235295</x:v>
      </x:c>
      <x:c r="N13" s="22" t="n">
        <x:f>IF(J13&gt;0,J13*$H$2,K13*$J$2)</x:f>
        <x:v>2.6996999999999995</x:v>
      </x:c>
      <x:c r="O13" s="22" t="n">
        <x:f>MAX(K13*$L$2,$N$2)</x:f>
        <x:v>10.123874999999998</x:v>
      </x:c>
      <x:c r="P13" s="22" t="n">
        <x:f>K13-L13-H13-I13-M13-N13-O13</x:f>
        <x:v>11.24607442497015</x:v>
      </x:c>
      <x:c r="Q13" s="29" t="n">
        <x:f>IF(K13&gt;0,P13/K13,0)</x:f>
        <x:v>0.16662702411334818</x:v>
      </x:c>
      <x:c r="R13" s="32" t="n">
        <x:f>ROUND(P13*F13,2)</x:f>
        <x:v>258.66</x:v>
      </x:c>
    </x:row>
    <x:row r="14">
      <x:c r="A14" s="19" t="str">
        <x:v>B0BNDMNZXL</x:v>
      </x:c>
      <x:c r="B14" s="19" t="str">
        <x:v>PD17-grey&amp;white-9x18</x:v>
      </x:c>
      <x:c r="C14" s="22" t="n">
        <x:v>119.99</x:v>
      </x:c>
      <x:c r="D14" s="22" t="str">
        <x:v>价格折扣</x:v>
      </x:c>
      <x:c r="E14" s="22" t="n">
        <x:v>0.2</x:v>
      </x:c>
      <x:c r="F14" s="25" t="n">
        <x:v>1</x:v>
      </x:c>
      <x:c r="G14" s="22" t="n">
        <x:v>153</x:v>
      </x:c>
      <x:c r="H14" s="22" t="n">
        <x:v>9.24</x:v>
      </x:c>
      <x:c r="I14" s="22" t="n">
        <x:v>23.074413047544176</x:v>
      </x:c>
      <x:c r="J14" s="22" t="n">
        <x:v>0</x:v>
      </x:c>
      <x:c r="K14" s="22" t="n">
        <x:f>IF(D14="原价调整",E14,IF(OR(E14="",E14=0),C14,C14*(1-E14)))</x:f>
        <x:v>95.992</x:v>
      </x:c>
      <x:c r="L14" s="22" t="n">
        <x:f>IFERROR(G14/$B$2,0)</x:f>
        <x:v>22.5</x:v>
      </x:c>
      <x:c r="M14" s="22" t="n">
        <x:f>L14*$D$2*$F$2</x:f>
        <x:v>1.06875</x:v>
      </x:c>
      <x:c r="N14" s="22" t="n">
        <x:f>IF(J14&gt;0,J14*$H$2,K14*$J$2)</x:f>
        <x:v>3.8396800000000004</x:v>
      </x:c>
      <x:c r="O14" s="22" t="n">
        <x:f>MAX(K14*$L$2,$N$2)</x:f>
        <x:v>14.3988</x:v>
      </x:c>
      <x:c r="P14" s="22" t="n">
        <x:f>K14-L14-H14-I14-M14-N14-O14</x:f>
        <x:v>21.87035695245583</x:v>
      </x:c>
      <x:c r="Q14" s="29" t="n">
        <x:f>IF(K14&gt;0,P14/K14,0)</x:f>
        <x:v>0.22783520452179168</x:v>
      </x:c>
      <x:c r="R14" s="32" t="n">
        <x:f>ROUND(P14*F14,2)</x:f>
        <x:v>21.87</x:v>
      </x:c>
    </x:row>
    <x:row r="15">
      <x:c r="A15" s="19" t="str">
        <x:v>B0CLRX3C8M</x:v>
      </x:c>
      <x:c r="B15" s="19" t="str">
        <x:v>PD17-grey&amp;white-10x14</x:v>
      </x:c>
      <x:c r="C15" s="22" t="n">
        <x:v>115.99</x:v>
      </x:c>
      <x:c r="D15" s="22" t="str">
        <x:v>价格折扣</x:v>
      </x:c>
      <x:c r="E15" s="22" t="n">
        <x:v>0.2</x:v>
      </x:c>
      <x:c r="F15" s="25" t="n">
        <x:v>9</x:v>
      </x:c>
      <x:c r="G15" s="22" t="n">
        <x:v>139</x:v>
      </x:c>
      <x:c r="H15" s="22" t="n">
        <x:v>8.14</x:v>
      </x:c>
      <x:c r="I15" s="22" t="n">
        <x:v>21.409244790423024</x:v>
      </x:c>
      <x:c r="J15" s="22" t="n">
        <x:v>0</x:v>
      </x:c>
      <x:c r="K15" s="22" t="n">
        <x:f>IF(D15="原价调整",E15,IF(OR(E15="",E15=0),C15,C15*(1-E15)))</x:f>
        <x:v>92.792</x:v>
      </x:c>
      <x:c r="L15" s="22" t="n">
        <x:f>IFERROR(G15/$B$2,0)</x:f>
        <x:v>20.441176470588236</x:v>
      </x:c>
      <x:c r="M15" s="22" t="n">
        <x:f>L15*$D$2*$F$2</x:f>
        <x:v>0.9709558823529412</x:v>
      </x:c>
      <x:c r="N15" s="22" t="n">
        <x:f>IF(J15&gt;0,J15*$H$2,K15*$J$2)</x:f>
        <x:v>3.7116800000000003</x:v>
      </x:c>
      <x:c r="O15" s="22" t="n">
        <x:f>MAX(K15*$L$2,$N$2)</x:f>
        <x:v>13.9188</x:v>
      </x:c>
      <x:c r="P15" s="22" t="n">
        <x:f>K15-L15-H15-I15-M15-N15-O15</x:f>
        <x:v>24.200142856635807</x:v>
      </x:c>
      <x:c r="Q15" s="29" t="n">
        <x:f>IF(K15&gt;0,P15/K15,0)</x:f>
        <x:v>0.26079988422100836</x:v>
      </x:c>
      <x:c r="R15" s="32" t="n">
        <x:f>ROUND(P15*F15,2)</x:f>
        <x:v>217.8</x:v>
      </x:c>
    </x:row>
    <x:row r="16">
      <x:c r="A16" s="19" t="str">
        <x:v>B0DHZPR94Y</x:v>
      </x:c>
      <x:c r="B16" s="19" t="str">
        <x:v>PD17-GREYWHITE-10FT</x:v>
      </x:c>
      <x:c r="C16" s="22" t="n">
        <x:v>89.99</x:v>
      </x:c>
      <x:c r="D16" s="22" t="str">
        <x:v>价格折扣</x:v>
      </x:c>
      <x:c r="E16" s="22" t="n">
        <x:v>0.1</x:v>
      </x:c>
      <x:c r="F16" s="25" t="n">
        <x:v>4</x:v>
      </x:c>
      <x:c r="G16" s="22" t="n">
        <x:v>89.9</x:v>
      </x:c>
      <x:c r="H16" s="22" t="n">
        <x:v>5.03</x:v>
      </x:c>
      <x:c r="I16" s="22" t="n">
        <x:v>16.596211707377265</x:v>
      </x:c>
      <x:c r="J16" s="22" t="n">
        <x:v>0</x:v>
      </x:c>
      <x:c r="K16" s="22" t="n">
        <x:f>IF(D16="原价调整",E16,IF(OR(E16="",E16=0),C16,C16*(1-E16)))</x:f>
        <x:v>80.991</x:v>
      </x:c>
      <x:c r="L16" s="22" t="n">
        <x:f>IFERROR(G16/$B$2,0)</x:f>
        <x:v>13.22058823529412</x:v>
      </x:c>
      <x:c r="M16" s="22" t="n">
        <x:f>L16*$D$2*$F$2</x:f>
        <x:v>0.6279779411764707</x:v>
      </x:c>
      <x:c r="N16" s="22" t="n">
        <x:f>IF(J16&gt;0,J16*$H$2,K16*$J$2)</x:f>
        <x:v>3.23964</x:v>
      </x:c>
      <x:c r="O16" s="22" t="n">
        <x:f>MAX(K16*$L$2,$N$2)</x:f>
        <x:v>12.14865</x:v>
      </x:c>
      <x:c r="P16" s="22" t="n">
        <x:f>K16-L16-H16-I16-M16-N16-O16</x:f>
        <x:v>30.12793211615215</x:v>
      </x:c>
      <x:c r="Q16" s="29" t="n">
        <x:f>IF(K16&gt;0,P16/K16,0)</x:f>
        <x:v>0.37199111155748354</x:v>
      </x:c>
      <x:c r="R16" s="32" t="n">
        <x:f>ROUND(P16*F16,2)</x:f>
        <x:v>120.51</x:v>
      </x:c>
    </x:row>
    <x:row r="17">
      <x:c r="A17" s="19" t="str">
        <x:v>B0DHZQGN4Q</x:v>
      </x:c>
      <x:c r="B17" s="19" t="str">
        <x:v>PD17-GREYWHITE-10X10FT</x:v>
      </x:c>
      <x:c r="C17" s="22" t="n">
        <x:v>99.99</x:v>
      </x:c>
      <x:c r="D17" s="22" t="str">
        <x:v>价格折扣</x:v>
      </x:c>
      <x:c r="E17" s="22" t="n">
        <x:v>0.1</x:v>
      </x:c>
      <x:c r="F17" s="25" t="n">
        <x:v>10</x:v>
      </x:c>
      <x:c r="G17" s="22" t="n">
        <x:v>112</x:v>
      </x:c>
      <x:c r="H17" s="22" t="n">
        <x:v>6.71</x:v>
      </x:c>
      <x:c r="I17" s="22" t="n">
        <x:v>18.369068952098992</x:v>
      </x:c>
      <x:c r="J17" s="22" t="n">
        <x:v>0</x:v>
      </x:c>
      <x:c r="K17" s="22" t="n">
        <x:f>IF(D17="原价调整",E17,IF(OR(E17="",E17=0),C17,C17*(1-E17)))</x:f>
        <x:v>89.991</x:v>
      </x:c>
      <x:c r="L17" s="22" t="n">
        <x:f>IFERROR(G17/$B$2,0)</x:f>
        <x:v>16.47058823529412</x:v>
      </x:c>
      <x:c r="M17" s="22" t="n">
        <x:f>L17*$D$2*$F$2</x:f>
        <x:v>0.7823529411764707</x:v>
      </x:c>
      <x:c r="N17" s="22" t="n">
        <x:f>IF(J17&gt;0,J17*$H$2,K17*$J$2)</x:f>
        <x:v>3.59964</x:v>
      </x:c>
      <x:c r="O17" s="22" t="n">
        <x:f>MAX(K17*$L$2,$N$2)</x:f>
        <x:v>13.49865</x:v>
      </x:c>
      <x:c r="P17" s="22" t="n">
        <x:f>K17-L17-H17-I17-M17-N17-O17</x:f>
        <x:v>30.56069987143043</x:v>
      </x:c>
      <x:c r="Q17" s="29" t="n">
        <x:f>IF(K17&gt;0,P17/K17,0)</x:f>
        <x:v>0.339597291633946</x:v>
      </x:c>
      <x:c r="R17" s="32" t="n">
        <x:f>ROUND(P17*F17,2)</x:f>
        <x:v>305.61</x:v>
      </x:c>
    </x:row>
    <x:row r="18">
      <x:c r="A18" s="19" t="str">
        <x:v>B0DHZNNV8Z</x:v>
      </x:c>
      <x:c r="B18" s="19" t="str">
        <x:v>PD17-GREYWHITE-10X20FT</x:v>
      </x:c>
      <x:c r="C18" s="22" t="n">
        <x:v>189.99</x:v>
      </x:c>
      <x:c r="D18" s="22" t="str">
        <x:v>价格折扣</x:v>
      </x:c>
      <x:c r="E18" s="22" t="n">
        <x:v>0.2</x:v>
      </x:c>
      <x:c r="F18" s="25" t="n">
        <x:v>13</x:v>
      </x:c>
      <x:c r="G18" s="22" t="n">
        <x:v>198</x:v>
      </x:c>
      <x:c r="H18" s="22" t="n">
        <x:v>11.48</x:v>
      </x:c>
      <x:c r="I18" s="22" t="n">
        <x:v>29.724248201728923</x:v>
      </x:c>
      <x:c r="J18" s="22" t="n">
        <x:v>0</x:v>
      </x:c>
      <x:c r="K18" s="22" t="n">
        <x:f>IF(D18="原价调整",E18,IF(OR(E18="",E18=0),C18,C18*(1-E18)))</x:f>
        <x:v>151.99200000000002</x:v>
      </x:c>
      <x:c r="L18" s="22" t="n">
        <x:f>IFERROR(G18/$B$2,0)</x:f>
        <x:v>29.11764705882353</x:v>
      </x:c>
      <x:c r="M18" s="22" t="n">
        <x:f>L18*$D$2*$F$2</x:f>
        <x:v>1.3830882352941176</x:v>
      </x:c>
      <x:c r="N18" s="22" t="n">
        <x:f>IF(J18&gt;0,J18*$H$2,K18*$J$2)</x:f>
        <x:v>6.079680000000001</x:v>
      </x:c>
      <x:c r="O18" s="22" t="n">
        <x:f>MAX(K18*$L$2,$N$2)</x:f>
        <x:v>22.798800000000004</x:v>
      </x:c>
      <x:c r="P18" s="22" t="n">
        <x:f>K18-L18-H18-I18-M18-N18-O18</x:f>
        <x:v>51.40853650415343</x:v>
      </x:c>
      <x:c r="Q18" s="29" t="n">
        <x:f>IF(K18&gt;0,P18/K18,0)</x:f>
        <x:v>0.3382318576250949</x:v>
      </x:c>
      <x:c r="R18" s="32" t="n">
        <x:f>ROUND(P18*F18,2)</x:f>
        <x:v>668.31</x:v>
      </x:c>
    </x:row>
    <x:row r="19">
      <x:c r="A19" s="19" t="str">
        <x:v>B0CLRVXXL2</x:v>
      </x:c>
      <x:c r="B19" s="19" t="str">
        <x:v>PD17-led-grey&amp;white-6x9</x:v>
      </x:c>
      <x:c r="C19" s="22" t="n">
        <x:v>69.99</x:v>
      </x:c>
      <x:c r="D19" s="22" t="str">
        <x:v>价格折扣</x:v>
      </x:c>
      <x:c r="E19" s="22" t="n">
        <x:v>0.1</x:v>
      </x:c>
      <x:c r="F19" s="25" t="n">
        <x:v>5</x:v>
      </x:c>
      <x:c r="G19" s="22" t="n">
        <x:v>102</x:v>
      </x:c>
      <x:c r="H19" s="22" t="n">
        <x:v>4</x:v>
      </x:c>
      <x:c r="I19" s="22" t="n">
        <x:v>10.286793500859856</x:v>
      </x:c>
      <x:c r="J19" s="22" t="n">
        <x:v>0</x:v>
      </x:c>
      <x:c r="K19" s="22" t="n">
        <x:f>IF(D19="原价调整",E19,IF(OR(E19="",E19=0),C19,C19*(1-E19)))</x:f>
        <x:v>62.991</x:v>
      </x:c>
      <x:c r="L19" s="22" t="n">
        <x:f>IFERROR(G19/$B$2,0)</x:f>
        <x:v>15</x:v>
      </x:c>
      <x:c r="M19" s="22" t="n">
        <x:f>L19*$D$2*$F$2</x:f>
        <x:v>0.7125</x:v>
      </x:c>
      <x:c r="N19" s="22" t="n">
        <x:f>IF(J19&gt;0,J19*$H$2,K19*$J$2)</x:f>
        <x:v>2.51964</x:v>
      </x:c>
      <x:c r="O19" s="22" t="n">
        <x:f>MAX(K19*$L$2,$N$2)</x:f>
        <x:v>9.448649999999999</x:v>
      </x:c>
      <x:c r="P19" s="22" t="n">
        <x:f>K19-L19-H19-I19-M19-N19-O19</x:f>
        <x:v>21.023416499140147</x:v>
      </x:c>
      <x:c r="Q19" s="29" t="n">
        <x:f>IF(K19&gt;0,P19/K19,0)</x:f>
        <x:v>0.33375270275341157</x:v>
      </x:c>
      <x:c r="R19" s="32" t="n">
        <x:f>ROUND(P19*F19,2)</x:f>
        <x:v>105.12</x:v>
      </x:c>
    </x:row>
    <x:row r="20">
      <x:c r="A20" s="19" t="str">
        <x:v>B0DFHKNQXH</x:v>
      </x:c>
      <x:c r="B20" s="19" t="str">
        <x:v>PD17-led-grey&amp;white-8x10</x:v>
      </x:c>
      <x:c r="C20" s="22" t="n">
        <x:v>89.99</x:v>
      </x:c>
      <x:c r="D20" s="22" t="str">
        <x:v>价格折扣</x:v>
      </x:c>
      <x:c r="E20" s="22" t="n">
        <x:v>0.1</x:v>
      </x:c>
      <x:c r="F20" s="25" t="n">
        <x:v>4</x:v>
      </x:c>
      <x:c r="G20" s="22" t="n">
        <x:v>142.9</x:v>
      </x:c>
      <x:c r="H20" s="22" t="n">
        <x:v>5.4</x:v>
      </x:c>
      <x:c r="I20" s="22" t="n">
        <x:v>16.835066334701583</x:v>
      </x:c>
      <x:c r="J20" s="22" t="n">
        <x:v>0</x:v>
      </x:c>
      <x:c r="K20" s="22" t="n">
        <x:f>IF(D20="原价调整",E20,IF(OR(E20="",E20=0),C20,C20*(1-E20)))</x:f>
        <x:v>80.991</x:v>
      </x:c>
      <x:c r="L20" s="22" t="n">
        <x:f>IFERROR(G20/$B$2,0)</x:f>
        <x:v>21.014705882352942</x:v>
      </x:c>
      <x:c r="M20" s="22" t="n">
        <x:f>L20*$D$2*$F$2</x:f>
        <x:v>0.9981985294117648</x:v>
      </x:c>
      <x:c r="N20" s="22" t="n">
        <x:f>IF(J20&gt;0,J20*$H$2,K20*$J$2)</x:f>
        <x:v>3.23964</x:v>
      </x:c>
      <x:c r="O20" s="22" t="n">
        <x:f>MAX(K20*$L$2,$N$2)</x:f>
        <x:v>12.14865</x:v>
      </x:c>
      <x:c r="P20" s="22" t="n">
        <x:f>K20-L20-H20-I20-M20-N20-O20</x:f>
        <x:v>21.354739253533705</x:v>
      </x:c>
      <x:c r="Q20" s="29" t="n">
        <x:f>IF(K20&gt;0,P20/K20,0)</x:f>
        <x:v>0.2636680526667618</x:v>
      </x:c>
      <x:c r="R20" s="32" t="n">
        <x:f>ROUND(P20*F20,2)</x:f>
        <x:v>85.42</x:v>
      </x:c>
    </x:row>
    <x:row r="21">
      <x:c r="A21" s="19" t="str">
        <x:v>B0DFHJ9S8R</x:v>
      </x:c>
      <x:c r="B21" s="19" t="str">
        <x:v>PD17-led-grey&amp;white-9x12</x:v>
      </x:c>
      <x:c r="C21" s="22" t="n">
        <x:v>119.99</x:v>
      </x:c>
      <x:c r="D21" s="22" t="str">
        <x:v>价格折扣</x:v>
      </x:c>
      <x:c r="E21" s="22" t="n">
        <x:v>0.25</x:v>
      </x:c>
      <x:c r="F21" s="25" t="n">
        <x:v>10</x:v>
      </x:c>
      <x:c r="G21" s="22" t="n">
        <x:v>171</x:v>
      </x:c>
      <x:c r="H21" s="22" t="n">
        <x:v>7.22</x:v>
      </x:c>
      <x:c r="I21" s="22" t="n">
        <x:v>19.179101751500433</x:v>
      </x:c>
      <x:c r="J21" s="22" t="n">
        <x:v>0</x:v>
      </x:c>
      <x:c r="K21" s="22" t="n">
        <x:f>IF(D21="原价调整",E21,IF(OR(E21="",E21=0),C21,C21*(1-E21)))</x:f>
        <x:v>89.99249999999999</x:v>
      </x:c>
      <x:c r="L21" s="22" t="n">
        <x:f>IFERROR(G21/$B$2,0)</x:f>
        <x:v>25.147058823529413</x:v>
      </x:c>
      <x:c r="M21" s="22" t="n">
        <x:f>L21*$D$2*$F$2</x:f>
        <x:v>1.1944852941176471</x:v>
      </x:c>
      <x:c r="N21" s="22" t="n">
        <x:f>IF(J21&gt;0,J21*$H$2,K21*$J$2)</x:f>
        <x:v>3.5997</x:v>
      </x:c>
      <x:c r="O21" s="22" t="n">
        <x:f>MAX(K21*$L$2,$N$2)</x:f>
        <x:v>13.498874999999998</x:v>
      </x:c>
      <x:c r="P21" s="22" t="n">
        <x:f>K21-L21-H21-I21-M21-N21-O21</x:f>
        <x:v>20.15327913085251</x:v>
      </x:c>
      <x:c r="Q21" s="29" t="n">
        <x:f>IF(K21&gt;0,P21/K21,0)</x:f>
        <x:v>0.22394398567494528</x:v>
      </x:c>
      <x:c r="R21" s="32" t="n">
        <x:f>ROUND(P21*F21,2)</x:f>
        <x:v>201.53</x:v>
      </x:c>
    </x:row>
    <x:row r="22">
      <x:c r="A22" s="19" t="str">
        <x:v>B0DFHGYYDR</x:v>
      </x:c>
      <x:c r="B22" s="19" t="str">
        <x:v>PD17-black&amp;brown-2.5x8</x:v>
      </x:c>
      <x:c r="C22" s="22" t="n">
        <x:v>31.99</x:v>
      </x:c>
      <x:c r="D22" s="22" t="str"/>
      <x:c r="E22" s="22"/>
      <x:c r="F22" s="25" t="n">
        <x:v>15</x:v>
      </x:c>
      <x:c r="G22" s="22" t="n">
        <x:v>34.05</x:v>
      </x:c>
      <x:c r="H22" s="22" t="n">
        <x:v>1.47</x:v>
      </x:c>
      <x:c r="I22" s="22" t="n">
        <x:v>7.688802701702446</x:v>
      </x:c>
      <x:c r="J22" s="22" t="n">
        <x:v>0</x:v>
      </x:c>
      <x:c r="K22" s="22" t="n">
        <x:f>IF(D22="原价调整",E22,IF(OR(E22="",E22=0),C22,C22*(1-E22)))</x:f>
        <x:v>31.99</x:v>
      </x:c>
      <x:c r="L22" s="22" t="n">
        <x:f>IFERROR(G22/$B$2,0)</x:f>
        <x:v>5.00735294117647</x:v>
      </x:c>
      <x:c r="M22" s="22" t="n">
        <x:f>L22*$D$2*$F$2</x:f>
        <x:v>0.23784926470588233</x:v>
      </x:c>
      <x:c r="N22" s="22" t="n">
        <x:f>IF(J22&gt;0,J22*$H$2,K22*$J$2)</x:f>
        <x:v>1.2796</x:v>
      </x:c>
      <x:c r="O22" s="22" t="n">
        <x:f>MAX(K22*$L$2,$N$2)</x:f>
        <x:v>4.7985</x:v>
      </x:c>
      <x:c r="P22" s="22" t="n">
        <x:f>K22-L22-H22-I22-M22-N22-O22</x:f>
        <x:v>11.5078950924152</x:v>
      </x:c>
      <x:c r="Q22" s="29" t="n">
        <x:f>IF(K22&gt;0,P22/K22,0)</x:f>
        <x:v>0.35973413855627384</x:v>
      </x:c>
      <x:c r="R22" s="32" t="n">
        <x:f>ROUND(P22*F22,2)</x:f>
        <x:v>172.62</x:v>
      </x:c>
    </x:row>
    <x:row r="23">
      <x:c r="A23" s="19" t="str">
        <x:v>B0CLRXNQC2</x:v>
      </x:c>
      <x:c r="B23" s="19" t="str">
        <x:v>PD17-black&amp;brown-3x5</x:v>
      </x:c>
      <x:c r="C23" s="22" t="n">
        <x:v>26.99</x:v>
      </x:c>
      <x:c r="D23" s="22" t="str"/>
      <x:c r="E23" s="22"/>
      <x:c r="F23" s="25" t="n">
        <x:v>1</x:v>
      </x:c>
      <x:c r="G23" s="22" t="n">
        <x:v>28</x:v>
      </x:c>
      <x:c r="H23" s="22" t="n">
        <x:v>0.98</x:v>
      </x:c>
      <x:c r="I23" s="22" t="n">
        <x:v>7.136987449222446</x:v>
      </x:c>
      <x:c r="J23" s="22" t="n">
        <x:v>0</x:v>
      </x:c>
      <x:c r="K23" s="22" t="n">
        <x:f>IF(D23="原价调整",E23,IF(OR(E23="",E23=0),C23,C23*(1-E23)))</x:f>
        <x:v>26.99</x:v>
      </x:c>
      <x:c r="L23" s="22" t="n">
        <x:f>IFERROR(G23/$B$2,0)</x:f>
        <x:v>4.11764705882353</x:v>
      </x:c>
      <x:c r="M23" s="22" t="n">
        <x:f>L23*$D$2*$F$2</x:f>
        <x:v>0.19558823529411767</x:v>
      </x:c>
      <x:c r="N23" s="22" t="n">
        <x:f>IF(J23&gt;0,J23*$H$2,K23*$J$2)</x:f>
        <x:v>1.0796</x:v>
      </x:c>
      <x:c r="O23" s="22" t="n">
        <x:f>MAX(K23*$L$2,$N$2)</x:f>
        <x:v>4.0485</x:v>
      </x:c>
      <x:c r="P23" s="22" t="n">
        <x:f>K23-L23-H23-I23-M23-N23-O23</x:f>
        <x:v>9.431677256659906</x:v>
      </x:c>
      <x:c r="Q23" s="29" t="n">
        <x:f>IF(K23&gt;0,P23/K23,0)</x:f>
        <x:v>0.3494508061007746</x:v>
      </x:c>
      <x:c r="R23" s="32" t="n">
        <x:f>ROUND(P23*F23,2)</x:f>
        <x:v>9.43</x:v>
      </x:c>
    </x:row>
    <x:row r="24">
      <x:c r="A24" s="19" t="str">
        <x:v>B0D415RCBJ</x:v>
      </x:c>
      <x:c r="B24" s="19" t="str">
        <x:v>PD17-black&amp;brown-4x6</x:v>
      </x:c>
      <x:c r="C24" s="22" t="n">
        <x:v>29.99</x:v>
      </x:c>
      <x:c r="D24" s="22" t="str">
        <x:v>价格折扣</x:v>
      </x:c>
      <x:c r="E24" s="22" t="n">
        <x:v>0.2</x:v>
      </x:c>
      <x:c r="F24" s="25" t="n">
        <x:v>5</x:v>
      </x:c>
      <x:c r="G24" s="22" t="n">
        <x:v>35</x:v>
      </x:c>
      <x:c r="H24" s="22" t="n">
        <x:v>1.34</x:v>
      </x:c>
      <x:c r="I24" s="22" t="n">
        <x:v>7.572854957122302</x:v>
      </x:c>
      <x:c r="J24" s="22" t="n">
        <x:v>0</x:v>
      </x:c>
      <x:c r="K24" s="22" t="n">
        <x:f>IF(D24="原价调整",E24,IF(OR(E24="",E24=0),C24,C24*(1-E24)))</x:f>
        <x:v>23.992</x:v>
      </x:c>
      <x:c r="L24" s="22" t="n">
        <x:f>IFERROR(G24/$B$2,0)</x:f>
        <x:v>5.147058823529412</x:v>
      </x:c>
      <x:c r="M24" s="22" t="n">
        <x:f>L24*$D$2*$F$2</x:f>
        <x:v>0.24448529411764708</x:v>
      </x:c>
      <x:c r="N24" s="22" t="n">
        <x:f>IF(J24&gt;0,J24*$H$2,K24*$J$2)</x:f>
        <x:v>0.9596800000000001</x:v>
      </x:c>
      <x:c r="O24" s="22" t="n">
        <x:f>MAX(K24*$L$2,$N$2)</x:f>
        <x:v>3.5988</x:v>
      </x:c>
      <x:c r="P24" s="22" t="n">
        <x:f>K24-L24-H24-I24-M24-N24-O24</x:f>
        <x:v>5.129120925230637</x:v>
      </x:c>
      <x:c r="Q24" s="29" t="n">
        <x:f>IF(K24&gt;0,P24/K24,0)</x:f>
        <x:v>0.21378463342908624</x:v>
      </x:c>
      <x:c r="R24" s="32" t="n">
        <x:f>ROUND(P24*F24,2)</x:f>
        <x:v>25.65</x:v>
      </x:c>
    </x:row>
    <x:row r="25">
      <x:c r="A25" s="19" t="str">
        <x:v>B0C6XYCDYW</x:v>
      </x:c>
      <x:c r="B25" s="19" t="str">
        <x:v>PD17-black&amp;brown-5x8</x:v>
      </x:c>
      <x:c r="C25" s="22" t="n">
        <x:v>39.99</x:v>
      </x:c>
      <x:c r="D25" s="22" t="str">
        <x:v>价格折扣</x:v>
      </x:c>
      <x:c r="E25" s="22" t="n">
        <x:v>0.2</x:v>
      </x:c>
      <x:c r="F25" s="25" t="n">
        <x:v>20</x:v>
      </x:c>
      <x:c r="G25" s="22" t="n">
        <x:v>50</x:v>
      </x:c>
      <x:c r="H25" s="22" t="n">
        <x:v>2.3</x:v>
      </x:c>
      <x:c r="I25" s="22" t="n">
        <x:v>8.737796706421872</x:v>
      </x:c>
      <x:c r="J25" s="22" t="n">
        <x:v>0</x:v>
      </x:c>
      <x:c r="K25" s="22" t="n">
        <x:f>IF(D25="原价调整",E25,IF(OR(E25="",E25=0),C25,C25*(1-E25)))</x:f>
        <x:v>31.992000000000004</x:v>
      </x:c>
      <x:c r="L25" s="22" t="n">
        <x:f>IFERROR(G25/$B$2,0)</x:f>
        <x:v>7.352941176470589</x:v>
      </x:c>
      <x:c r="M25" s="22" t="n">
        <x:f>L25*$D$2*$F$2</x:f>
        <x:v>0.349264705882353</x:v>
      </x:c>
      <x:c r="N25" s="22" t="n">
        <x:f>IF(J25&gt;0,J25*$H$2,K25*$J$2)</x:f>
        <x:v>1.2796800000000002</x:v>
      </x:c>
      <x:c r="O25" s="22" t="n">
        <x:f>MAX(K25*$L$2,$N$2)</x:f>
        <x:v>4.798800000000001</x:v>
      </x:c>
      <x:c r="P25" s="22" t="n">
        <x:f>K25-L25-H25-I25-M25-N25-O25</x:f>
        <x:v>7.17351741122519</x:v>
      </x:c>
      <x:c r="Q25" s="29" t="n">
        <x:f>IF(K25&gt;0,P25/K25,0)</x:f>
        <x:v>0.22422847621984213</x:v>
      </x:c>
      <x:c r="R25" s="32" t="n">
        <x:f>ROUND(P25*F25,2)</x:f>
        <x:v>143.47</x:v>
      </x:c>
    </x:row>
    <x:row r="26">
      <x:c r="A26" s="19" t="str">
        <x:v>B0CLRXN1S1</x:v>
      </x:c>
      <x:c r="B26" s="19" t="str">
        <x:v>PD17-black&amp;brown-6x9</x:v>
      </x:c>
      <x:c r="C26" s="22" t="n">
        <x:v>49.99</x:v>
      </x:c>
      <x:c r="D26" s="22" t="str">
        <x:v>价格折扣</x:v>
      </x:c>
      <x:c r="E26" s="22" t="n">
        <x:v>0.25</x:v>
      </x:c>
      <x:c r="F26" s="25" t="n">
        <x:v>14</x:v>
      </x:c>
      <x:c r="G26" s="22" t="n">
        <x:v>62.5</x:v>
      </x:c>
      <x:c r="H26" s="22" t="n">
        <x:v>3.66</x:v>
      </x:c>
      <x:c r="I26" s="22" t="n">
        <x:v>10.285513500859857</x:v>
      </x:c>
      <x:c r="J26" s="22" t="n">
        <x:v>0</x:v>
      </x:c>
      <x:c r="K26" s="22" t="n">
        <x:f>IF(D26="原价调整",E26,IF(OR(E26="",E26=0),C26,C26*(1-E26)))</x:f>
        <x:v>37.4925</x:v>
      </x:c>
      <x:c r="L26" s="22" t="n">
        <x:f>IFERROR(G26/$B$2,0)</x:f>
        <x:v>9.191176470588236</x:v>
      </x:c>
      <x:c r="M26" s="22" t="n">
        <x:f>L26*$D$2*$F$2</x:f>
        <x:v>0.4365808823529412</x:v>
      </x:c>
      <x:c r="N26" s="22" t="n">
        <x:f>IF(J26&gt;0,J26*$H$2,K26*$J$2)</x:f>
        <x:v>1.4997</x:v>
      </x:c>
      <x:c r="O26" s="22" t="n">
        <x:f>MAX(K26*$L$2,$N$2)</x:f>
        <x:v>5.623875</x:v>
      </x:c>
      <x:c r="P26" s="22" t="n">
        <x:f>K26-L26-H26-I26-M26-N26-O26</x:f>
        <x:v>6.795654146198965</x:v>
      </x:c>
      <x:c r="Q26" s="29" t="n">
        <x:f>IF(K26&gt;0,P26/K26,0)</x:f>
        <x:v>0.18125369463756658</x:v>
      </x:c>
      <x:c r="R26" s="32" t="n">
        <x:f>ROUND(P26*F26,2)</x:f>
        <x:v>95.14</x:v>
      </x:c>
    </x:row>
    <x:row r="27">
      <x:c r="A27" s="19" t="str">
        <x:v>B0DFHL2BR5</x:v>
      </x:c>
      <x:c r="B27" s="19" t="str">
        <x:v>PD17-black&amp;brown-8R</x:v>
      </x:c>
      <x:c r="C27" s="22" t="n">
        <x:v>69.99</x:v>
      </x:c>
      <x:c r="D27" s="22" t="str">
        <x:v>价格折扣</x:v>
      </x:c>
      <x:c r="E27" s="22" t="n">
        <x:v>0.2</x:v>
      </x:c>
      <x:c r="F27" s="25" t="n">
        <x:v>14</x:v>
      </x:c>
      <x:c r="G27" s="22" t="n">
        <x:v>77.5</x:v>
      </x:c>
      <x:c r="H27" s="22" t="n">
        <x:v>3.59</x:v>
      </x:c>
      <x:c r="I27" s="22" t="n">
        <x:v>14.12711356208806</x:v>
      </x:c>
      <x:c r="J27" s="22" t="n">
        <x:v>0</x:v>
      </x:c>
      <x:c r="K27" s="22" t="n">
        <x:f>IF(D27="原价调整",E27,IF(OR(E27="",E27=0),C27,C27*(1-E27)))</x:f>
        <x:v>55.992</x:v>
      </x:c>
      <x:c r="L27" s="22" t="n">
        <x:f>IFERROR(G27/$B$2,0)</x:f>
        <x:v>11.397058823529411</x:v>
      </x:c>
      <x:c r="M27" s="22" t="n">
        <x:f>L27*$D$2*$F$2</x:f>
        <x:v>0.5413602941176471</x:v>
      </x:c>
      <x:c r="N27" s="22" t="n">
        <x:f>IF(J27&gt;0,J27*$H$2,K27*$J$2)</x:f>
        <x:v>2.23968</x:v>
      </x:c>
      <x:c r="O27" s="22" t="n">
        <x:f>MAX(K27*$L$2,$N$2)</x:f>
        <x:v>8.3988</x:v>
      </x:c>
      <x:c r="P27" s="22" t="n">
        <x:f>K27-L27-H27-I27-M27-N27-O27</x:f>
        <x:v>15.697987320264874</x:v>
      </x:c>
      <x:c r="Q27" s="29" t="n">
        <x:f>IF(K27&gt;0,P27/K27,0)</x:f>
        <x:v>0.2803612537552664</x:v>
      </x:c>
      <x:c r="R27" s="32" t="n">
        <x:f>ROUND(P27*F27,2)</x:f>
        <x:v>219.77</x:v>
      </x:c>
    </x:row>
    <x:row r="28">
      <x:c r="A28" s="19" t="str">
        <x:v>B0CLRWWMTV</x:v>
      </x:c>
      <x:c r="B28" s="19" t="str">
        <x:v>PD17-black&amp;brown-8x10</x:v>
      </x:c>
      <x:c r="C28" s="22" t="n">
        <x:v>79.99</x:v>
      </x:c>
      <x:c r="D28" s="22" t="str">
        <x:v>价格折扣</x:v>
      </x:c>
      <x:c r="E28" s="22" t="n">
        <x:v>0.3</x:v>
      </x:c>
      <x:c r="F28" s="25" t="n">
        <x:v>4</x:v>
      </x:c>
      <x:c r="G28" s="22" t="n">
        <x:v>89</x:v>
      </x:c>
      <x:c r="H28" s="22" t="n">
        <x:v>5.4</x:v>
      </x:c>
      <x:c r="I28" s="22" t="n">
        <x:v>12.194666387117124</x:v>
      </x:c>
      <x:c r="J28" s="22" t="n">
        <x:v>0</x:v>
      </x:c>
      <x:c r="K28" s="22" t="n">
        <x:f>IF(D28="原价调整",E28,IF(OR(E28="",E28=0),C28,C28*(1-E28)))</x:f>
        <x:v>55.992999999999995</x:v>
      </x:c>
      <x:c r="L28" s="22" t="n">
        <x:f>IFERROR(G28/$B$2,0)</x:f>
        <x:v>13.088235294117647</x:v>
      </x:c>
      <x:c r="M28" s="22" t="n">
        <x:f>L28*$D$2*$F$2</x:f>
        <x:v>0.6216911764705882</x:v>
      </x:c>
      <x:c r="N28" s="22" t="n">
        <x:f>IF(J28&gt;0,J28*$H$2,K28*$J$2)</x:f>
        <x:v>2.2397199999999997</x:v>
      </x:c>
      <x:c r="O28" s="22" t="n">
        <x:f>MAX(K28*$L$2,$N$2)</x:f>
        <x:v>8.39895</x:v>
      </x:c>
      <x:c r="P28" s="22" t="n">
        <x:f>K28-L28-H28-I28-M28-N28-O28</x:f>
        <x:v>14.049737142294642</x:v>
      </x:c>
      <x:c r="Q28" s="29" t="n">
        <x:f>IF(K28&gt;0,P28/K28,0)</x:f>
        <x:v>0.25091952819628605</x:v>
      </x:c>
      <x:c r="R28" s="32" t="n">
        <x:f>ROUND(P28*F28,2)</x:f>
        <x:v>56.2</x:v>
      </x:c>
    </x:row>
    <x:row r="29">
      <x:c r="A29" s="19" t="str">
        <x:v>B0DFHJ8LZG</x:v>
      </x:c>
      <x:c r="B29" s="19" t="str">
        <x:v>PD17-black&amp;brown-8x16</x:v>
      </x:c>
      <x:c r="C29" s="22" t="n">
        <x:v>106.99</x:v>
      </x:c>
      <x:c r="D29" s="22" t="str">
        <x:v>价格折扣</x:v>
      </x:c>
      <x:c r="E29" s="22" t="n">
        <x:v>0.15</x:v>
      </x:c>
      <x:c r="F29" s="25" t="n">
        <x:v>10</x:v>
      </x:c>
      <x:c r="G29" s="22" t="n">
        <x:v>129.5</x:v>
      </x:c>
      <x:c r="H29" s="22" t="n">
        <x:v>7.51</x:v>
      </x:c>
      <x:c r="I29" s="22" t="n">
        <x:v>20.0042174480023</x:v>
      </x:c>
      <x:c r="J29" s="22" t="n">
        <x:v>0</x:v>
      </x:c>
      <x:c r="K29" s="22" t="n">
        <x:f>IF(D29="原价调整",E29,IF(OR(E29="",E29=0),C29,C29*(1-E29)))</x:f>
        <x:v>90.94149999999999</x:v>
      </x:c>
      <x:c r="L29" s="22" t="n">
        <x:f>IFERROR(G29/$B$2,0)</x:f>
        <x:v>19.044117647058822</x:v>
      </x:c>
      <x:c r="M29" s="22" t="n">
        <x:f>L29*$D$2*$F$2</x:f>
        <x:v>0.9045955882352941</x:v>
      </x:c>
      <x:c r="N29" s="22" t="n">
        <x:f>IF(J29&gt;0,J29*$H$2,K29*$J$2)</x:f>
        <x:v>3.63766</x:v>
      </x:c>
      <x:c r="O29" s="22" t="n">
        <x:f>MAX(K29*$L$2,$N$2)</x:f>
        <x:v>13.641224999999999</x:v>
      </x:c>
      <x:c r="P29" s="22" t="n">
        <x:f>K29-L29-H29-I29-M29-N29-O29</x:f>
        <x:v>26.199684316703568</x:v>
      </x:c>
      <x:c r="Q29" s="29" t="n">
        <x:f>IF(K29&gt;0,P29/K29,0)</x:f>
        <x:v>0.2880938220361834</x:v>
      </x:c>
      <x:c r="R29" s="32" t="n">
        <x:f>ROUND(P29*F29,2)</x:f>
        <x:v>262</x:v>
      </x:c>
    </x:row>
    <x:row r="30">
      <x:c r="A30" s="19" t="str">
        <x:v>B0CLRW2Q1P</x:v>
      </x:c>
      <x:c r="B30" s="19" t="str">
        <x:v>PD17-black&amp;brown-9x12</x:v>
      </x:c>
      <x:c r="C30" s="22" t="n">
        <x:v>89.99</x:v>
      </x:c>
      <x:c r="D30" s="22" t="str">
        <x:v>价格折扣</x:v>
      </x:c>
      <x:c r="E30" s="22" t="n">
        <x:v>0.3</x:v>
      </x:c>
      <x:c r="F30" s="25" t="n">
        <x:v>14</x:v>
      </x:c>
      <x:c r="G30" s="22" t="n">
        <x:v>109</x:v>
      </x:c>
      <x:c r="H30" s="22" t="n">
        <x:v>7.22</x:v>
      </x:c>
      <x:c r="I30" s="22" t="n">
        <x:v>19.412041751500432</x:v>
      </x:c>
      <x:c r="J30" s="22" t="n">
        <x:v>0</x:v>
      </x:c>
      <x:c r="K30" s="22" t="n">
        <x:f>IF(D30="原价调整",E30,IF(OR(E30="",E30=0),C30,C30*(1-E30)))</x:f>
        <x:v>62.992999999999995</x:v>
      </x:c>
      <x:c r="L30" s="22" t="n">
        <x:f>IFERROR(G30/$B$2,0)</x:f>
        <x:v>16.029411764705884</x:v>
      </x:c>
      <x:c r="M30" s="22" t="n">
        <x:f>L30*$D$2*$F$2</x:f>
        <x:v>0.7613970588235295</x:v>
      </x:c>
      <x:c r="N30" s="22" t="n">
        <x:f>IF(J30&gt;0,J30*$H$2,K30*$J$2)</x:f>
        <x:v>2.51972</x:v>
      </x:c>
      <x:c r="O30" s="22" t="n">
        <x:f>MAX(K30*$L$2,$N$2)</x:f>
        <x:v>9.448949999999998</x:v>
      </x:c>
      <x:c r="P30" s="22" t="n">
        <x:f>K30-L30-H30-I30-M30-N30-O30</x:f>
        <x:v>7.601479424970153</x:v>
      </x:c>
      <x:c r="Q30" s="29" t="n">
        <x:f>IF(K30&gt;0,P30/K30,0)</x:f>
        <x:v>0.12067181155001593</x:v>
      </x:c>
      <x:c r="R30" s="32" t="n">
        <x:f>ROUND(P30*F30,2)</x:f>
        <x:v>106.42</x:v>
      </x:c>
    </x:row>
    <x:row r="31">
      <x:c r="A31" s="19" t="str">
        <x:v>B0CLRWKFMN</x:v>
      </x:c>
      <x:c r="B31" s="19" t="str">
        <x:v>PD17-black&amp;brown-9x18</x:v>
      </x:c>
      <x:c r="C31" s="22" t="n">
        <x:v>119.99</x:v>
      </x:c>
      <x:c r="D31" s="22" t="str"/>
      <x:c r="E31" s="22"/>
      <x:c r="F31" s="25" t="n">
        <x:v>9</x:v>
      </x:c>
      <x:c r="G31" s="22" t="n">
        <x:v>153</x:v>
      </x:c>
      <x:c r="H31" s="22" t="n">
        <x:v>9.24</x:v>
      </x:c>
      <x:c r="I31" s="22" t="n">
        <x:v>23.074413047544176</x:v>
      </x:c>
      <x:c r="J31" s="22" t="n">
        <x:v>0</x:v>
      </x:c>
      <x:c r="K31" s="22" t="n">
        <x:f>IF(D31="原价调整",E31,IF(OR(E31="",E31=0),C31,C31*(1-E31)))</x:f>
        <x:v>119.99</x:v>
      </x:c>
      <x:c r="L31" s="22" t="n">
        <x:f>IFERROR(G31/$B$2,0)</x:f>
        <x:v>22.5</x:v>
      </x:c>
      <x:c r="M31" s="22" t="n">
        <x:f>L31*$D$2*$F$2</x:f>
        <x:v>1.06875</x:v>
      </x:c>
      <x:c r="N31" s="22" t="n">
        <x:f>IF(J31&gt;0,J31*$H$2,K31*$J$2)</x:f>
        <x:v>4.7996</x:v>
      </x:c>
      <x:c r="O31" s="22" t="n">
        <x:f>MAX(K31*$L$2,$N$2)</x:f>
        <x:v>17.9985</x:v>
      </x:c>
      <x:c r="P31" s="22" t="n">
        <x:f>K31-L31-H31-I31-M31-N31-O31</x:f>
        <x:v>41.30873695245584</x:v>
      </x:c>
      <x:c r="Q31" s="29" t="n">
        <x:f>IF(K31&gt;0,P31/K31,0)</x:f>
        <x:v>0.34426816361743345</x:v>
      </x:c>
      <x:c r="R31" s="32" t="n">
        <x:f>ROUND(P31*F31,2)</x:f>
        <x:v>371.78</x:v>
      </x:c>
    </x:row>
    <x:row r="32">
      <x:c r="A32" s="19" t="str">
        <x:v>B0CLRW7JQS</x:v>
      </x:c>
      <x:c r="B32" s="19" t="str">
        <x:v>PD17-black&amp;brown-10x14</x:v>
      </x:c>
      <x:c r="C32" s="22" t="n">
        <x:v>115.99</x:v>
      </x:c>
      <x:c r="D32" s="22" t="str">
        <x:v>价格折扣</x:v>
      </x:c>
      <x:c r="E32" s="22" t="n">
        <x:v>0.25</x:v>
      </x:c>
      <x:c r="F32" s="25" t="n">
        <x:v>6</x:v>
      </x:c>
      <x:c r="G32" s="22" t="n">
        <x:v>139</x:v>
      </x:c>
      <x:c r="H32" s="22" t="n">
        <x:v>8.14</x:v>
      </x:c>
      <x:c r="I32" s="22" t="n">
        <x:v>21.409244790423024</x:v>
      </x:c>
      <x:c r="J32" s="22" t="n">
        <x:v>0</x:v>
      </x:c>
      <x:c r="K32" s="22" t="n">
        <x:f>IF(D32="原价调整",E32,IF(OR(E32="",E32=0),C32,C32*(1-E32)))</x:f>
        <x:v>86.99249999999999</x:v>
      </x:c>
      <x:c r="L32" s="22" t="n">
        <x:f>IFERROR(G32/$B$2,0)</x:f>
        <x:v>20.441176470588236</x:v>
      </x:c>
      <x:c r="M32" s="22" t="n">
        <x:f>L32*$D$2*$F$2</x:f>
        <x:v>0.9709558823529412</x:v>
      </x:c>
      <x:c r="N32" s="22" t="n">
        <x:f>IF(J32&gt;0,J32*$H$2,K32*$J$2)</x:f>
        <x:v>3.4797</x:v>
      </x:c>
      <x:c r="O32" s="22" t="n">
        <x:f>MAX(K32*$L$2,$N$2)</x:f>
        <x:v>13.048874999999999</x:v>
      </x:c>
      <x:c r="P32" s="22" t="n">
        <x:f>K32-L32-H32-I32-M32-N32-O32</x:f>
        <x:v>19.502547856635797</x:v>
      </x:c>
      <x:c r="Q32" s="29" t="n">
        <x:f>IF(K32&gt;0,P32/K32,0)</x:f>
        <x:v>0.22418654316907546</x:v>
      </x:c>
      <x:c r="R32" s="32" t="n">
        <x:f>ROUND(P32*F32,2)</x:f>
        <x:v>117.02</x:v>
      </x:c>
    </x:row>
    <x:row r="33">
      <x:c r="A33" s="19" t="str">
        <x:v>B0DHZNT2RS</x:v>
      </x:c>
      <x:c r="B33" s="19" t="str">
        <x:v>PD17-BLACKBROWN-10X10FT</x:v>
      </x:c>
      <x:c r="C33" s="22" t="n">
        <x:v>99.99</x:v>
      </x:c>
      <x:c r="D33" s="22" t="str">
        <x:v>价格折扣</x:v>
      </x:c>
      <x:c r="E33" s="22" t="n">
        <x:v>0.2</x:v>
      </x:c>
      <x:c r="F33" s="25" t="n">
        <x:v>4</x:v>
      </x:c>
      <x:c r="G33" s="22" t="n">
        <x:v>112</x:v>
      </x:c>
      <x:c r="H33" s="22" t="n">
        <x:v>6.71</x:v>
      </x:c>
      <x:c r="I33" s="22" t="n">
        <x:v>18.369068952098992</x:v>
      </x:c>
      <x:c r="J33" s="22" t="n">
        <x:v>0</x:v>
      </x:c>
      <x:c r="K33" s="22" t="n">
        <x:f>IF(D33="原价调整",E33,IF(OR(E33="",E33=0),C33,C33*(1-E33)))</x:f>
        <x:v>79.992</x:v>
      </x:c>
      <x:c r="L33" s="22" t="n">
        <x:f>IFERROR(G33/$B$2,0)</x:f>
        <x:v>16.47058823529412</x:v>
      </x:c>
      <x:c r="M33" s="22" t="n">
        <x:f>L33*$D$2*$F$2</x:f>
        <x:v>0.7823529411764707</x:v>
      </x:c>
      <x:c r="N33" s="22" t="n">
        <x:f>IF(J33&gt;0,J33*$H$2,K33*$J$2)</x:f>
        <x:v>3.1996800000000003</x:v>
      </x:c>
      <x:c r="O33" s="22" t="n">
        <x:f>MAX(K33*$L$2,$N$2)</x:f>
        <x:v>11.998800000000001</x:v>
      </x:c>
      <x:c r="P33" s="22" t="n">
        <x:f>K33-L33-H33-I33-M33-N33-O33</x:f>
        <x:v>22.461509871430422</x:v>
      </x:c>
      <x:c r="Q33" s="29" t="n">
        <x:f>IF(K33&gt;0,P33/K33,0)</x:f>
        <x:v>0.2807969530881891</x:v>
      </x:c>
      <x:c r="R33" s="32" t="n">
        <x:f>ROUND(P33*F33,2)</x:f>
        <x:v>89.85</x:v>
      </x:c>
    </x:row>
    <x:row r="34">
      <x:c r="A34" s="19" t="str">
        <x:v>B0DHZLXB7M</x:v>
      </x:c>
      <x:c r="B34" s="19" t="str">
        <x:v>PD17-BLACKBROWN-10X20FT</x:v>
      </x:c>
      <x:c r="C34" s="22" t="n">
        <x:v>189.99</x:v>
      </x:c>
      <x:c r="D34" s="22" t="str">
        <x:v>价格折扣</x:v>
      </x:c>
      <x:c r="E34" s="22" t="n">
        <x:v>0.2</x:v>
      </x:c>
      <x:c r="F34" s="25" t="n">
        <x:v>5</x:v>
      </x:c>
      <x:c r="G34" s="22" t="n">
        <x:v>198</x:v>
      </x:c>
      <x:c r="H34" s="22" t="n">
        <x:v>11.48</x:v>
      </x:c>
      <x:c r="I34" s="22" t="n">
        <x:v>29.724248201728923</x:v>
      </x:c>
      <x:c r="J34" s="22" t="n">
        <x:v>0</x:v>
      </x:c>
      <x:c r="K34" s="22" t="n">
        <x:f>IF(D34="原价调整",E34,IF(OR(E34="",E34=0),C34,C34*(1-E34)))</x:f>
        <x:v>151.99200000000002</x:v>
      </x:c>
      <x:c r="L34" s="22" t="n">
        <x:f>IFERROR(G34/$B$2,0)</x:f>
        <x:v>29.11764705882353</x:v>
      </x:c>
      <x:c r="M34" s="22" t="n">
        <x:f>L34*$D$2*$F$2</x:f>
        <x:v>1.3830882352941176</x:v>
      </x:c>
      <x:c r="N34" s="22" t="n">
        <x:f>IF(J34&gt;0,J34*$H$2,K34*$J$2)</x:f>
        <x:v>6.079680000000001</x:v>
      </x:c>
      <x:c r="O34" s="22" t="n">
        <x:f>MAX(K34*$L$2,$N$2)</x:f>
        <x:v>22.798800000000004</x:v>
      </x:c>
      <x:c r="P34" s="22" t="n">
        <x:f>K34-L34-H34-I34-M34-N34-O34</x:f>
        <x:v>51.40853650415343</x:v>
      </x:c>
      <x:c r="Q34" s="29" t="n">
        <x:f>IF(K34&gt;0,P34/K34,0)</x:f>
        <x:v>0.3382318576250949</x:v>
      </x:c>
      <x:c r="R34" s="32" t="n">
        <x:f>ROUND(P34*F34,2)</x:f>
        <x:v>257.04</x:v>
      </x:c>
    </x:row>
    <x:row r="35">
      <x:c r="A35" s="19" t="str">
        <x:v>B0DFHGJQ1T</x:v>
      </x:c>
      <x:c r="B35" s="19" t="str">
        <x:v>PD17-black&amp;grey-2.5x8</x:v>
      </x:c>
      <x:c r="C35" s="22" t="n">
        <x:v>31.99</x:v>
      </x:c>
      <x:c r="D35" s="22" t="str"/>
      <x:c r="E35" s="22"/>
      <x:c r="F35" s="25" t="n">
        <x:v>2</x:v>
      </x:c>
      <x:c r="G35" s="22" t="n">
        <x:v>34.05</x:v>
      </x:c>
      <x:c r="H35" s="22" t="n">
        <x:v>1.47</x:v>
      </x:c>
      <x:c r="I35" s="22" t="n">
        <x:v>7.688802701702446</x:v>
      </x:c>
      <x:c r="J35" s="22" t="n">
        <x:v>0</x:v>
      </x:c>
      <x:c r="K35" s="22" t="n">
        <x:f>IF(D35="原价调整",E35,IF(OR(E35="",E35=0),C35,C35*(1-E35)))</x:f>
        <x:v>31.99</x:v>
      </x:c>
      <x:c r="L35" s="22" t="n">
        <x:f>IFERROR(G35/$B$2,0)</x:f>
        <x:v>5.00735294117647</x:v>
      </x:c>
      <x:c r="M35" s="22" t="n">
        <x:f>L35*$D$2*$F$2</x:f>
        <x:v>0.23784926470588233</x:v>
      </x:c>
      <x:c r="N35" s="22" t="n">
        <x:f>IF(J35&gt;0,J35*$H$2,K35*$J$2)</x:f>
        <x:v>1.2796</x:v>
      </x:c>
      <x:c r="O35" s="22" t="n">
        <x:f>MAX(K35*$L$2,$N$2)</x:f>
        <x:v>4.7985</x:v>
      </x:c>
      <x:c r="P35" s="22" t="n">
        <x:f>K35-L35-H35-I35-M35-N35-O35</x:f>
        <x:v>11.5078950924152</x:v>
      </x:c>
      <x:c r="Q35" s="29" t="n">
        <x:f>IF(K35&gt;0,P35/K35,0)</x:f>
        <x:v>0.35973413855627384</x:v>
      </x:c>
      <x:c r="R35" s="32" t="n">
        <x:f>ROUND(P35*F35,2)</x:f>
        <x:v>23.02</x:v>
      </x:c>
    </x:row>
    <x:row r="36">
      <x:c r="A36" s="19" t="str">
        <x:v>B0CLRVCLB4</x:v>
      </x:c>
      <x:c r="B36" s="19" t="str">
        <x:v>PD17-black&amp;grey-3x5</x:v>
      </x:c>
      <x:c r="C36" s="22" t="n">
        <x:v>26.99</x:v>
      </x:c>
      <x:c r="D36" s="22" t="str"/>
      <x:c r="E36" s="22"/>
      <x:c r="F36" s="25" t="n">
        <x:v>0</x:v>
      </x:c>
      <x:c r="G36" s="22" t="n">
        <x:v>28</x:v>
      </x:c>
      <x:c r="H36" s="22" t="n">
        <x:v>0.98</x:v>
      </x:c>
      <x:c r="I36" s="22" t="n">
        <x:v>7.136987449222446</x:v>
      </x:c>
      <x:c r="J36" s="22" t="n">
        <x:v>0</x:v>
      </x:c>
      <x:c r="K36" s="22" t="n">
        <x:f>IF(D36="原价调整",E36,IF(OR(E36="",E36=0),C36,C36*(1-E36)))</x:f>
        <x:v>26.99</x:v>
      </x:c>
      <x:c r="L36" s="22" t="n">
        <x:f>IFERROR(G36/$B$2,0)</x:f>
        <x:v>4.11764705882353</x:v>
      </x:c>
      <x:c r="M36" s="22" t="n">
        <x:f>L36*$D$2*$F$2</x:f>
        <x:v>0.19558823529411767</x:v>
      </x:c>
      <x:c r="N36" s="22" t="n">
        <x:f>IF(J36&gt;0,J36*$H$2,K36*$J$2)</x:f>
        <x:v>1.0796</x:v>
      </x:c>
      <x:c r="O36" s="22" t="n">
        <x:f>MAX(K36*$L$2,$N$2)</x:f>
        <x:v>4.0485</x:v>
      </x:c>
      <x:c r="P36" s="22" t="n">
        <x:f>K36-L36-H36-I36-M36-N36-O36</x:f>
        <x:v>9.431677256659906</x:v>
      </x:c>
      <x:c r="Q36" s="29" t="n">
        <x:f>IF(K36&gt;0,P36/K36,0)</x:f>
        <x:v>0.3494508061007746</x:v>
      </x:c>
      <x:c r="R36" s="32" t="n">
        <x:f>ROUND(P36*F36,2)</x:f>
        <x:v>0</x:v>
      </x:c>
    </x:row>
    <x:row r="37">
      <x:c r="A37" s="19" t="str">
        <x:v>B0D4169CJW</x:v>
      </x:c>
      <x:c r="B37" s="19" t="str">
        <x:v>PD17-black&amp;grey-4x6</x:v>
      </x:c>
      <x:c r="C37" s="22" t="n">
        <x:v>29.99</x:v>
      </x:c>
      <x:c r="D37" s="22" t="str">
        <x:v>价格折扣</x:v>
      </x:c>
      <x:c r="E37" s="22" t="n">
        <x:v>0.1</x:v>
      </x:c>
      <x:c r="F37" s="25" t="n">
        <x:v>12</x:v>
      </x:c>
      <x:c r="G37" s="22" t="n">
        <x:v>35</x:v>
      </x:c>
      <x:c r="H37" s="22" t="n">
        <x:v>1.34</x:v>
      </x:c>
      <x:c r="I37" s="22" t="n">
        <x:v>7.572854957122302</x:v>
      </x:c>
      <x:c r="J37" s="22" t="n">
        <x:v>0</x:v>
      </x:c>
      <x:c r="K37" s="22" t="n">
        <x:f>IF(D37="原价调整",E37,IF(OR(E37="",E37=0),C37,C37*(1-E37)))</x:f>
        <x:v>26.991</x:v>
      </x:c>
      <x:c r="L37" s="22" t="n">
        <x:f>IFERROR(G37/$B$2,0)</x:f>
        <x:v>5.147058823529412</x:v>
      </x:c>
      <x:c r="M37" s="22" t="n">
        <x:f>L37*$D$2*$F$2</x:f>
        <x:v>0.24448529411764708</x:v>
      </x:c>
      <x:c r="N37" s="22" t="n">
        <x:f>IF(J37&gt;0,J37*$H$2,K37*$J$2)</x:f>
        <x:v>1.07964</x:v>
      </x:c>
      <x:c r="O37" s="22" t="n">
        <x:f>MAX(K37*$L$2,$N$2)</x:f>
        <x:v>4.048649999999999</x:v>
      </x:c>
      <x:c r="P37" s="22" t="n">
        <x:f>K37-L37-H37-I37-M37-N37-O37</x:f>
        <x:v>7.558310925230638</x:v>
      </x:c>
      <x:c r="Q37" s="29" t="n">
        <x:f>IF(K37&gt;0,P37/K37,0)</x:f>
        <x:v>0.28003078527029895</x:v>
      </x:c>
      <x:c r="R37" s="32" t="n">
        <x:f>ROUND(P37*F37,2)</x:f>
        <x:v>90.7</x:v>
      </x:c>
    </x:row>
    <x:row r="38">
      <x:c r="A38" s="19" t="str">
        <x:v>B0G29VP5JT</x:v>
      </x:c>
      <x:c r="B38" s="19" t="str">
        <x:v>PD17-BLACKGREY-5X8FT</x:v>
      </x:c>
      <x:c r="C38" s="22" t="n">
        <x:v>39.99</x:v>
      </x:c>
      <x:c r="D38" s="22" t="str">
        <x:v>价格折扣</x:v>
      </x:c>
      <x:c r="E38" s="22" t="n">
        <x:v>0.1</x:v>
      </x:c>
      <x:c r="F38" s="25" t="n">
        <x:v>14</x:v>
      </x:c>
      <x:c r="G38" s="22" t="n">
        <x:v>50</x:v>
      </x:c>
      <x:c r="H38" s="22" t="n">
        <x:v>2.3</x:v>
      </x:c>
      <x:c r="I38" s="22" t="n">
        <x:v>8.737796706421872</x:v>
      </x:c>
      <x:c r="J38" s="22" t="n">
        <x:v>0</x:v>
      </x:c>
      <x:c r="K38" s="22" t="n">
        <x:f>IF(D38="原价调整",E38,IF(OR(E38="",E38=0),C38,C38*(1-E38)))</x:f>
        <x:v>35.991</x:v>
      </x:c>
      <x:c r="L38" s="22" t="n">
        <x:f>IFERROR(G38/$B$2,0)</x:f>
        <x:v>7.352941176470589</x:v>
      </x:c>
      <x:c r="M38" s="22" t="n">
        <x:f>L38*$D$2*$F$2</x:f>
        <x:v>0.349264705882353</x:v>
      </x:c>
      <x:c r="N38" s="22" t="n">
        <x:f>IF(J38&gt;0,J38*$H$2,K38*$J$2)</x:f>
        <x:v>1.43964</x:v>
      </x:c>
      <x:c r="O38" s="22" t="n">
        <x:f>MAX(K38*$L$2,$N$2)</x:f>
        <x:v>5.39865</x:v>
      </x:c>
      <x:c r="P38" s="22" t="n">
        <x:f>K38-L38-H38-I38-M38-N38-O38</x:f>
        <x:v>10.412707411225188</x:v>
      </x:c>
      <x:c r="Q38" s="29" t="n">
        <x:f>IF(K38&gt;0,P38/K38,0)</x:f>
        <x:v>0.2893142010843041</x:v>
      </x:c>
      <x:c r="R38" s="32" t="n">
        <x:f>ROUND(P38*F38,2)</x:f>
        <x:v>145.78</x:v>
      </x:c>
    </x:row>
    <x:row r="39">
      <x:c r="A39" s="19" t="str">
        <x:v>B0CLRXN14V</x:v>
      </x:c>
      <x:c r="B39" s="19" t="str">
        <x:v>PD17-black&amp;grey-6x9</x:v>
      </x:c>
      <x:c r="C39" s="22" t="n">
        <x:v>49.99</x:v>
      </x:c>
      <x:c r="D39" s="22" t="str">
        <x:v>价格折扣</x:v>
      </x:c>
      <x:c r="E39" s="22" t="n">
        <x:v>0.15</x:v>
      </x:c>
      <x:c r="F39" s="25" t="n">
        <x:v>19</x:v>
      </x:c>
      <x:c r="G39" s="22" t="n">
        <x:v>62.5</x:v>
      </x:c>
      <x:c r="H39" s="22" t="n">
        <x:v>3.66</x:v>
      </x:c>
      <x:c r="I39" s="22" t="n">
        <x:v>10.285513500859857</x:v>
      </x:c>
      <x:c r="J39" s="22" t="n">
        <x:v>0</x:v>
      </x:c>
      <x:c r="K39" s="22" t="n">
        <x:f>IF(D39="原价调整",E39,IF(OR(E39="",E39=0),C39,C39*(1-E39)))</x:f>
        <x:v>42.4915</x:v>
      </x:c>
      <x:c r="L39" s="22" t="n">
        <x:f>IFERROR(G39/$B$2,0)</x:f>
        <x:v>9.191176470588236</x:v>
      </x:c>
      <x:c r="M39" s="22" t="n">
        <x:f>L39*$D$2*$F$2</x:f>
        <x:v>0.4365808823529412</x:v>
      </x:c>
      <x:c r="N39" s="22" t="n">
        <x:f>IF(J39&gt;0,J39*$H$2,K39*$J$2)</x:f>
        <x:v>1.6996600000000002</x:v>
      </x:c>
      <x:c r="O39" s="22" t="n">
        <x:f>MAX(K39*$L$2,$N$2)</x:f>
        <x:v>6.373725</x:v>
      </x:c>
      <x:c r="P39" s="22" t="n">
        <x:f>K39-L39-H39-I39-M39-N39-O39</x:f>
        <x:v>10.84484414619897</x:v>
      </x:c>
      <x:c r="Q39" s="29" t="n">
        <x:f>IF(K39&gt;0,P39/K39,0)</x:f>
        <x:v>0.2552238482096177</x:v>
      </x:c>
      <x:c r="R39" s="32" t="n">
        <x:f>ROUND(P39*F39,2)</x:f>
        <x:v>206.05</x:v>
      </x:c>
    </x:row>
    <x:row r="40">
      <x:c r="A40" s="19" t="str">
        <x:v>B0CLRX1C57</x:v>
      </x:c>
      <x:c r="B40" s="19" t="str">
        <x:v>PD17-black&amp;grey-8x10</x:v>
      </x:c>
      <x:c r="C40" s="22" t="n">
        <x:v>79.99</x:v>
      </x:c>
      <x:c r="D40" s="22" t="str">
        <x:v>价格折扣</x:v>
      </x:c>
      <x:c r="E40" s="22" t="n">
        <x:v>0.15</x:v>
      </x:c>
      <x:c r="F40" s="25" t="n">
        <x:v>14</x:v>
      </x:c>
      <x:c r="G40" s="22" t="n">
        <x:v>89</x:v>
      </x:c>
      <x:c r="H40" s="22" t="n">
        <x:v>5.4</x:v>
      </x:c>
      <x:c r="I40" s="22" t="n">
        <x:v>12.194666387117124</x:v>
      </x:c>
      <x:c r="J40" s="22" t="n">
        <x:v>0</x:v>
      </x:c>
      <x:c r="K40" s="22" t="n">
        <x:f>IF(D40="原价调整",E40,IF(OR(E40="",E40=0),C40,C40*(1-E40)))</x:f>
        <x:v>67.99149999999999</x:v>
      </x:c>
      <x:c r="L40" s="22" t="n">
        <x:f>IFERROR(G40/$B$2,0)</x:f>
        <x:v>13.088235294117647</x:v>
      </x:c>
      <x:c r="M40" s="22" t="n">
        <x:f>L40*$D$2*$F$2</x:f>
        <x:v>0.6216911764705882</x:v>
      </x:c>
      <x:c r="N40" s="22" t="n">
        <x:f>IF(J40&gt;0,J40*$H$2,K40*$J$2)</x:f>
        <x:v>2.7196599999999997</x:v>
      </x:c>
      <x:c r="O40" s="22" t="n">
        <x:f>MAX(K40*$L$2,$N$2)</x:f>
        <x:v>10.198724999999998</x:v>
      </x:c>
      <x:c r="P40" s="22" t="n">
        <x:f>K40-L40-H40-I40-M40-N40-O40</x:f>
        <x:v>23.768522142294636</x:v>
      </x:c>
      <x:c r="Q40" s="29" t="n">
        <x:f>IF(K40&gt;0,P40/K40,0)</x:f>
        <x:v>0.34958078792635316</x:v>
      </x:c>
      <x:c r="R40" s="32" t="n">
        <x:f>ROUND(P40*F40,2)</x:f>
        <x:v>332.76</x:v>
      </x:c>
    </x:row>
    <x:row r="41">
      <x:c r="A41" s="19" t="str">
        <x:v>B0CLRXJ1XP</x:v>
      </x:c>
      <x:c r="B41" s="19" t="str">
        <x:v>PD17-black&amp;grey-9x12</x:v>
      </x:c>
      <x:c r="C41" s="22" t="n">
        <x:v>89.99</x:v>
      </x:c>
      <x:c r="D41" s="22" t="str">
        <x:v>价格折扣</x:v>
      </x:c>
      <x:c r="E41" s="22" t="n">
        <x:v>0.2</x:v>
      </x:c>
      <x:c r="F41" s="25" t="n">
        <x:v>12</x:v>
      </x:c>
      <x:c r="G41" s="22" t="n">
        <x:v>109</x:v>
      </x:c>
      <x:c r="H41" s="22" t="n">
        <x:v>7.22</x:v>
      </x:c>
      <x:c r="I41" s="22" t="n">
        <x:v>19.412041751500432</x:v>
      </x:c>
      <x:c r="J41" s="22" t="n">
        <x:v>0</x:v>
      </x:c>
      <x:c r="K41" s="22" t="n">
        <x:f>IF(D41="原价调整",E41,IF(OR(E41="",E41=0),C41,C41*(1-E41)))</x:f>
        <x:v>71.992</x:v>
      </x:c>
      <x:c r="L41" s="22" t="n">
        <x:f>IFERROR(G41/$B$2,0)</x:f>
        <x:v>16.029411764705884</x:v>
      </x:c>
      <x:c r="M41" s="22" t="n">
        <x:f>L41*$D$2*$F$2</x:f>
        <x:v>0.7613970588235295</x:v>
      </x:c>
      <x:c r="N41" s="22" t="n">
        <x:f>IF(J41&gt;0,J41*$H$2,K41*$J$2)</x:f>
        <x:v>2.87968</x:v>
      </x:c>
      <x:c r="O41" s="22" t="n">
        <x:f>MAX(K41*$L$2,$N$2)</x:f>
        <x:v>10.7988</x:v>
      </x:c>
      <x:c r="P41" s="22" t="n">
        <x:f>K41-L41-H41-I41-M41-N41-O41</x:f>
        <x:v>14.89066942497016</x:v>
      </x:c>
      <x:c r="Q41" s="29" t="n">
        <x:f>IF(K41&gt;0,P41/K41,0)</x:f>
        <x:v>0.206837835106264</x:v>
      </x:c>
      <x:c r="R41" s="32" t="n">
        <x:f>ROUND(P41*F41,2)</x:f>
        <x:v>178.69</x:v>
      </x:c>
    </x:row>
    <x:row r="42">
      <x:c r="A42" s="19" t="str">
        <x:v>B0CLRY8NM7</x:v>
      </x:c>
      <x:c r="B42" s="19" t="str">
        <x:v>PD17-black&amp;grey-9x18</x:v>
      </x:c>
      <x:c r="C42" s="22" t="n">
        <x:v>119.99</x:v>
      </x:c>
      <x:c r="D42" s="22" t="str">
        <x:v>价格折扣</x:v>
      </x:c>
      <x:c r="E42" s="22" t="n">
        <x:v>0.1</x:v>
      </x:c>
      <x:c r="F42" s="25" t="n">
        <x:v>2</x:v>
      </x:c>
      <x:c r="G42" s="22" t="n">
        <x:v>153</x:v>
      </x:c>
      <x:c r="H42" s="22" t="n">
        <x:v>9.24</x:v>
      </x:c>
      <x:c r="I42" s="22" t="n">
        <x:v>23.074413047544176</x:v>
      </x:c>
      <x:c r="J42" s="22" t="n">
        <x:v>0</x:v>
      </x:c>
      <x:c r="K42" s="22" t="n">
        <x:f>IF(D42="原价调整",E42,IF(OR(E42="",E42=0),C42,C42*(1-E42)))</x:f>
        <x:v>107.991</x:v>
      </x:c>
      <x:c r="L42" s="22" t="n">
        <x:f>IFERROR(G42/$B$2,0)</x:f>
        <x:v>22.5</x:v>
      </x:c>
      <x:c r="M42" s="22" t="n">
        <x:f>L42*$D$2*$F$2</x:f>
        <x:v>1.06875</x:v>
      </x:c>
      <x:c r="N42" s="22" t="n">
        <x:f>IF(J42&gt;0,J42*$H$2,K42*$J$2)</x:f>
        <x:v>4.31964</x:v>
      </x:c>
      <x:c r="O42" s="22" t="n">
        <x:f>MAX(K42*$L$2,$N$2)</x:f>
        <x:v>16.19865</x:v>
      </x:c>
      <x:c r="P42" s="22" t="n">
        <x:f>K42-L42-H42-I42-M42-N42-O42</x:f>
        <x:v>31.589546952455827</x:v>
      </x:c>
      <x:c r="Q42" s="29" t="n">
        <x:f>IF(K42&gt;0,P42/K42,0)</x:f>
        <x:v>0.29252018179714817</x:v>
      </x:c>
      <x:c r="R42" s="32" t="n">
        <x:f>ROUND(P42*F42,2)</x:f>
        <x:v>63.18</x:v>
      </x:c>
    </x:row>
    <x:row r="43">
      <x:c r="A43" s="19" t="str">
        <x:v>B0CLRY5HHP</x:v>
      </x:c>
      <x:c r="B43" s="19" t="str">
        <x:v>PD17-black&amp;grey-10x14</x:v>
      </x:c>
      <x:c r="C43" s="22" t="n">
        <x:v>115.99</x:v>
      </x:c>
      <x:c r="D43" s="22" t="str">
        <x:v>价格折扣</x:v>
      </x:c>
      <x:c r="E43" s="22" t="n">
        <x:v>0.15</x:v>
      </x:c>
      <x:c r="F43" s="25" t="n">
        <x:v>8</x:v>
      </x:c>
      <x:c r="G43" s="22" t="n">
        <x:v>139</x:v>
      </x:c>
      <x:c r="H43" s="22" t="n">
        <x:v>8.14</x:v>
      </x:c>
      <x:c r="I43" s="22" t="n">
        <x:v>21.409244790423024</x:v>
      </x:c>
      <x:c r="J43" s="22" t="n">
        <x:v>0</x:v>
      </x:c>
      <x:c r="K43" s="22" t="n">
        <x:f>IF(D43="原价调整",E43,IF(OR(E43="",E43=0),C43,C43*(1-E43)))</x:f>
        <x:v>98.5915</x:v>
      </x:c>
      <x:c r="L43" s="22" t="n">
        <x:f>IFERROR(G43/$B$2,0)</x:f>
        <x:v>20.441176470588236</x:v>
      </x:c>
      <x:c r="M43" s="22" t="n">
        <x:f>L43*$D$2*$F$2</x:f>
        <x:v>0.9709558823529412</x:v>
      </x:c>
      <x:c r="N43" s="22" t="n">
        <x:f>IF(J43&gt;0,J43*$H$2,K43*$J$2)</x:f>
        <x:v>3.94366</x:v>
      </x:c>
      <x:c r="O43" s="22" t="n">
        <x:f>MAX(K43*$L$2,$N$2)</x:f>
        <x:v>14.788725</x:v>
      </x:c>
      <x:c r="P43" s="22" t="n">
        <x:f>K43-L43-H43-I43-M43-N43-O43</x:f>
        <x:v>28.8977378566358</x:v>
      </x:c>
      <x:c r="Q43" s="29" t="n">
        <x:f>IF(K43&gt;0,P43/K43,0)</x:f>
        <x:v>0.2931057733844784</x:v>
      </x:c>
      <x:c r="R43" s="32" t="n">
        <x:f>ROUND(P43*F43,2)</x:f>
        <x:v>231.18</x:v>
      </x:c>
    </x:row>
    <x:row r="44">
      <x:c r="A44" s="19" t="str">
        <x:v>B0DFHJSXM6</x:v>
      </x:c>
      <x:c r="B44" s="19" t="str">
        <x:v>PD17-blue&amp;grey-2.5x8</x:v>
      </x:c>
      <x:c r="C44" s="22" t="n">
        <x:v>31.99</x:v>
      </x:c>
      <x:c r="D44" s="22" t="str"/>
      <x:c r="E44" s="22"/>
      <x:c r="F44" s="25" t="n">
        <x:v>2</x:v>
      </x:c>
      <x:c r="G44" s="22" t="n">
        <x:v>34.05</x:v>
      </x:c>
      <x:c r="H44" s="22" t="n">
        <x:v>1.47</x:v>
      </x:c>
      <x:c r="I44" s="22" t="n">
        <x:v>7.688802701702446</x:v>
      </x:c>
      <x:c r="J44" s="22" t="n">
        <x:v>0</x:v>
      </x:c>
      <x:c r="K44" s="22" t="n">
        <x:f>IF(D44="原价调整",E44,IF(OR(E44="",E44=0),C44,C44*(1-E44)))</x:f>
        <x:v>31.99</x:v>
      </x:c>
      <x:c r="L44" s="22" t="n">
        <x:f>IFERROR(G44/$B$2,0)</x:f>
        <x:v>5.00735294117647</x:v>
      </x:c>
      <x:c r="M44" s="22" t="n">
        <x:f>L44*$D$2*$F$2</x:f>
        <x:v>0.23784926470588233</x:v>
      </x:c>
      <x:c r="N44" s="22" t="n">
        <x:f>IF(J44&gt;0,J44*$H$2,K44*$J$2)</x:f>
        <x:v>1.2796</x:v>
      </x:c>
      <x:c r="O44" s="22" t="n">
        <x:f>MAX(K44*$L$2,$N$2)</x:f>
        <x:v>4.7985</x:v>
      </x:c>
      <x:c r="P44" s="22" t="n">
        <x:f>K44-L44-H44-I44-M44-N44-O44</x:f>
        <x:v>11.5078950924152</x:v>
      </x:c>
      <x:c r="Q44" s="29" t="n">
        <x:f>IF(K44&gt;0,P44/K44,0)</x:f>
        <x:v>0.35973413855627384</x:v>
      </x:c>
      <x:c r="R44" s="32" t="n">
        <x:f>ROUND(P44*F44,2)</x:f>
        <x:v>23.02</x:v>
      </x:c>
    </x:row>
    <x:row r="45">
      <x:c r="A45" s="19" t="str">
        <x:v>B0CLRVCKQQ</x:v>
      </x:c>
      <x:c r="B45" s="19" t="str">
        <x:v>PD17-blue&amp;grey-3x5</x:v>
      </x:c>
      <x:c r="C45" s="22" t="n">
        <x:v>26.99</x:v>
      </x:c>
      <x:c r="D45" s="22" t="str"/>
      <x:c r="E45" s="22"/>
      <x:c r="F45" s="25" t="n">
        <x:v>2</x:v>
      </x:c>
      <x:c r="G45" s="22" t="n">
        <x:v>28</x:v>
      </x:c>
      <x:c r="H45" s="22" t="n">
        <x:v>0.98</x:v>
      </x:c>
      <x:c r="I45" s="22" t="n">
        <x:v>7.136987449222446</x:v>
      </x:c>
      <x:c r="J45" s="22" t="n">
        <x:v>0</x:v>
      </x:c>
      <x:c r="K45" s="22" t="n">
        <x:f>IF(D45="原价调整",E45,IF(OR(E45="",E45=0),C45,C45*(1-E45)))</x:f>
        <x:v>26.99</x:v>
      </x:c>
      <x:c r="L45" s="22" t="n">
        <x:f>IFERROR(G45/$B$2,0)</x:f>
        <x:v>4.11764705882353</x:v>
      </x:c>
      <x:c r="M45" s="22" t="n">
        <x:f>L45*$D$2*$F$2</x:f>
        <x:v>0.19558823529411767</x:v>
      </x:c>
      <x:c r="N45" s="22" t="n">
        <x:f>IF(J45&gt;0,J45*$H$2,K45*$J$2)</x:f>
        <x:v>1.0796</x:v>
      </x:c>
      <x:c r="O45" s="22" t="n">
        <x:f>MAX(K45*$L$2,$N$2)</x:f>
        <x:v>4.0485</x:v>
      </x:c>
      <x:c r="P45" s="22" t="n">
        <x:f>K45-L45-H45-I45-M45-N45-O45</x:f>
        <x:v>9.431677256659906</x:v>
      </x:c>
      <x:c r="Q45" s="29" t="n">
        <x:f>IF(K45&gt;0,P45/K45,0)</x:f>
        <x:v>0.3494508061007746</x:v>
      </x:c>
      <x:c r="R45" s="32" t="n">
        <x:f>ROUND(P45*F45,2)</x:f>
        <x:v>18.86</x:v>
      </x:c>
    </x:row>
    <x:row r="46">
      <x:c r="A46" s="19" t="str">
        <x:v>B0D415444C</x:v>
      </x:c>
      <x:c r="B46" s="19" t="str">
        <x:v>PD17-blue&amp;grey-4x6</x:v>
      </x:c>
      <x:c r="C46" s="22" t="n">
        <x:v>29.99</x:v>
      </x:c>
      <x:c r="D46" s="22" t="str">
        <x:v>价格折扣</x:v>
      </x:c>
      <x:c r="E46" s="22" t="n">
        <x:v>0.1</x:v>
      </x:c>
      <x:c r="F46" s="25" t="n">
        <x:v>7</x:v>
      </x:c>
      <x:c r="G46" s="22" t="n">
        <x:v>35</x:v>
      </x:c>
      <x:c r="H46" s="22" t="n">
        <x:v>1.34</x:v>
      </x:c>
      <x:c r="I46" s="22" t="n">
        <x:v>7.572854957122302</x:v>
      </x:c>
      <x:c r="J46" s="22" t="n">
        <x:v>0</x:v>
      </x:c>
      <x:c r="K46" s="22" t="n">
        <x:f>IF(D46="原价调整",E46,IF(OR(E46="",E46=0),C46,C46*(1-E46)))</x:f>
        <x:v>26.991</x:v>
      </x:c>
      <x:c r="L46" s="22" t="n">
        <x:f>IFERROR(G46/$B$2,0)</x:f>
        <x:v>5.147058823529412</x:v>
      </x:c>
      <x:c r="M46" s="22" t="n">
        <x:f>L46*$D$2*$F$2</x:f>
        <x:v>0.24448529411764708</x:v>
      </x:c>
      <x:c r="N46" s="22" t="n">
        <x:f>IF(J46&gt;0,J46*$H$2,K46*$J$2)</x:f>
        <x:v>1.07964</x:v>
      </x:c>
      <x:c r="O46" s="22" t="n">
        <x:f>MAX(K46*$L$2,$N$2)</x:f>
        <x:v>4.048649999999999</x:v>
      </x:c>
      <x:c r="P46" s="22" t="n">
        <x:f>K46-L46-H46-I46-M46-N46-O46</x:f>
        <x:v>7.558310925230638</x:v>
      </x:c>
      <x:c r="Q46" s="29" t="n">
        <x:f>IF(K46&gt;0,P46/K46,0)</x:f>
        <x:v>0.28003078527029895</x:v>
      </x:c>
      <x:c r="R46" s="32" t="n">
        <x:f>ROUND(P46*F46,2)</x:f>
        <x:v>52.91</x:v>
      </x:c>
    </x:row>
    <x:row r="47">
      <x:c r="A47" s="19" t="str">
        <x:v>B0C6XXMSRC</x:v>
      </x:c>
      <x:c r="B47" s="19" t="str">
        <x:v>PD17-blue&amp;grey-5x8</x:v>
      </x:c>
      <x:c r="C47" s="22" t="n">
        <x:v>39.99</x:v>
      </x:c>
      <x:c r="D47" s="22" t="str">
        <x:v>价格折扣</x:v>
      </x:c>
      <x:c r="E47" s="22" t="n">
        <x:v>0.2</x:v>
      </x:c>
      <x:c r="F47" s="25" t="n">
        <x:v>4</x:v>
      </x:c>
      <x:c r="G47" s="22" t="n">
        <x:v>50</x:v>
      </x:c>
      <x:c r="H47" s="22" t="n">
        <x:v>2.3</x:v>
      </x:c>
      <x:c r="I47" s="22" t="n">
        <x:v>8.737796706421872</x:v>
      </x:c>
      <x:c r="J47" s="22" t="n">
        <x:v>0</x:v>
      </x:c>
      <x:c r="K47" s="22" t="n">
        <x:f>IF(D47="原价调整",E47,IF(OR(E47="",E47=0),C47,C47*(1-E47)))</x:f>
        <x:v>31.992000000000004</x:v>
      </x:c>
      <x:c r="L47" s="22" t="n">
        <x:f>IFERROR(G47/$B$2,0)</x:f>
        <x:v>7.352941176470589</x:v>
      </x:c>
      <x:c r="M47" s="22" t="n">
        <x:f>L47*$D$2*$F$2</x:f>
        <x:v>0.349264705882353</x:v>
      </x:c>
      <x:c r="N47" s="22" t="n">
        <x:f>IF(J47&gt;0,J47*$H$2,K47*$J$2)</x:f>
        <x:v>1.2796800000000002</x:v>
      </x:c>
      <x:c r="O47" s="22" t="n">
        <x:f>MAX(K47*$L$2,$N$2)</x:f>
        <x:v>4.798800000000001</x:v>
      </x:c>
      <x:c r="P47" s="22" t="n">
        <x:f>K47-L47-H47-I47-M47-N47-O47</x:f>
        <x:v>7.17351741122519</x:v>
      </x:c>
      <x:c r="Q47" s="29" t="n">
        <x:f>IF(K47&gt;0,P47/K47,0)</x:f>
        <x:v>0.22422847621984213</x:v>
      </x:c>
      <x:c r="R47" s="32" t="n">
        <x:f>ROUND(P47*F47,2)</x:f>
        <x:v>28.69</x:v>
      </x:c>
    </x:row>
    <x:row r="48">
      <x:c r="A48" s="19" t="str">
        <x:v>B0CLRX2YBL</x:v>
      </x:c>
      <x:c r="B48" s="19" t="str">
        <x:v>PD17-blue&amp;grey-6x9</x:v>
      </x:c>
      <x:c r="C48" s="22" t="n">
        <x:v>49.99</x:v>
      </x:c>
      <x:c r="D48" s="22" t="str">
        <x:v>价格折扣</x:v>
      </x:c>
      <x:c r="E48" s="22" t="n">
        <x:v>0.2</x:v>
      </x:c>
      <x:c r="F48" s="25" t="n">
        <x:v>6</x:v>
      </x:c>
      <x:c r="G48" s="22" t="n">
        <x:v>62.5</x:v>
      </x:c>
      <x:c r="H48" s="22" t="n">
        <x:v>3.66</x:v>
      </x:c>
      <x:c r="I48" s="22" t="n">
        <x:v>10.285513500859857</x:v>
      </x:c>
      <x:c r="J48" s="22" t="n">
        <x:v>0</x:v>
      </x:c>
      <x:c r="K48" s="22" t="n">
        <x:f>IF(D48="原价调整",E48,IF(OR(E48="",E48=0),C48,C48*(1-E48)))</x:f>
        <x:v>39.992000000000004</x:v>
      </x:c>
      <x:c r="L48" s="22" t="n">
        <x:f>IFERROR(G48/$B$2,0)</x:f>
        <x:v>9.191176470588236</x:v>
      </x:c>
      <x:c r="M48" s="22" t="n">
        <x:f>L48*$D$2*$F$2</x:f>
        <x:v>0.4365808823529412</x:v>
      </x:c>
      <x:c r="N48" s="22" t="n">
        <x:f>IF(J48&gt;0,J48*$H$2,K48*$J$2)</x:f>
        <x:v>1.5996800000000002</x:v>
      </x:c>
      <x:c r="O48" s="22" t="n">
        <x:f>MAX(K48*$L$2,$N$2)</x:f>
        <x:v>5.9988</x:v>
      </x:c>
      <x:c r="P48" s="22" t="n">
        <x:f>K48-L48-H48-I48-M48-N48-O48</x:f>
        <x:v>8.820249146198972</x:v>
      </x:c>
      <x:c r="Q48" s="29" t="n">
        <x:f>IF(K48&gt;0,P48/K48,0)</x:f>
        <x:v>0.22055033872271881</x:v>
      </x:c>
      <x:c r="R48" s="32" t="n">
        <x:f>ROUND(P48*F48,2)</x:f>
        <x:v>52.92</x:v>
      </x:c>
    </x:row>
    <x:row r="49">
      <x:c r="A49" s="19" t="str">
        <x:v>B0CLRXDLRW</x:v>
      </x:c>
      <x:c r="B49" s="19" t="str">
        <x:v>PD17-blue&amp;grey-8x10</x:v>
      </x:c>
      <x:c r="C49" s="22" t="n">
        <x:v>79.99</x:v>
      </x:c>
      <x:c r="D49" s="22" t="str"/>
      <x:c r="E49" s="22"/>
      <x:c r="F49" s="25" t="n">
        <x:v>3</x:v>
      </x:c>
      <x:c r="G49" s="22" t="n">
        <x:v>89</x:v>
      </x:c>
      <x:c r="H49" s="22" t="n">
        <x:v>5.4</x:v>
      </x:c>
      <x:c r="I49" s="22" t="n">
        <x:v>12.194666387117124</x:v>
      </x:c>
      <x:c r="J49" s="22" t="n">
        <x:v>0</x:v>
      </x:c>
      <x:c r="K49" s="22" t="n">
        <x:f>IF(D49="原价调整",E49,IF(OR(E49="",E49=0),C49,C49*(1-E49)))</x:f>
        <x:v>79.99</x:v>
      </x:c>
      <x:c r="L49" s="22" t="n">
        <x:f>IFERROR(G49/$B$2,0)</x:f>
        <x:v>13.088235294117647</x:v>
      </x:c>
      <x:c r="M49" s="22" t="n">
        <x:f>L49*$D$2*$F$2</x:f>
        <x:v>0.6216911764705882</x:v>
      </x:c>
      <x:c r="N49" s="22" t="n">
        <x:f>IF(J49&gt;0,J49*$H$2,K49*$J$2)</x:f>
        <x:v>3.1995999999999998</x:v>
      </x:c>
      <x:c r="O49" s="22" t="n">
        <x:f>MAX(K49*$L$2,$N$2)</x:f>
        <x:v>11.998499999999998</x:v>
      </x:c>
      <x:c r="P49" s="22" t="n">
        <x:f>K49-L49-H49-I49-M49-N49-O49</x:f>
        <x:v>33.48730714229463</x:v>
      </x:c>
      <x:c r="Q49" s="29" t="n">
        <x:f>IF(K49&gt;0,P49/K49,0)</x:f>
        <x:v>0.4186436697374001</x:v>
      </x:c>
      <x:c r="R49" s="32" t="n">
        <x:f>ROUND(P49*F49,2)</x:f>
        <x:v>100.46</x:v>
      </x:c>
    </x:row>
    <x:row r="50">
      <x:c r="A50" s="19" t="str">
        <x:v>B0CLRWN4VY</x:v>
      </x:c>
      <x:c r="B50" s="19" t="str">
        <x:v>PD17-blue&amp;grey-9x12</x:v>
      </x:c>
      <x:c r="C50" s="22" t="n">
        <x:v>89.99</x:v>
      </x:c>
      <x:c r="D50" s="22" t="str">
        <x:v>价格折扣</x:v>
      </x:c>
      <x:c r="E50" s="22" t="n">
        <x:v>0.25</x:v>
      </x:c>
      <x:c r="F50" s="25" t="n">
        <x:v>6</x:v>
      </x:c>
      <x:c r="G50" s="22" t="n">
        <x:v>109</x:v>
      </x:c>
      <x:c r="H50" s="22" t="n">
        <x:v>7.22</x:v>
      </x:c>
      <x:c r="I50" s="22" t="n">
        <x:v>19.412041751500432</x:v>
      </x:c>
      <x:c r="J50" s="22" t="n">
        <x:v>0</x:v>
      </x:c>
      <x:c r="K50" s="22" t="n">
        <x:f>IF(D50="原价调整",E50,IF(OR(E50="",E50=0),C50,C50*(1-E50)))</x:f>
        <x:v>67.49249999999999</x:v>
      </x:c>
      <x:c r="L50" s="22" t="n">
        <x:f>IFERROR(G50/$B$2,0)</x:f>
        <x:v>16.029411764705884</x:v>
      </x:c>
      <x:c r="M50" s="22" t="n">
        <x:f>L50*$D$2*$F$2</x:f>
        <x:v>0.7613970588235295</x:v>
      </x:c>
      <x:c r="N50" s="22" t="n">
        <x:f>IF(J50&gt;0,J50*$H$2,K50*$J$2)</x:f>
        <x:v>2.6996999999999995</x:v>
      </x:c>
      <x:c r="O50" s="22" t="n">
        <x:f>MAX(K50*$L$2,$N$2)</x:f>
        <x:v>10.123874999999998</x:v>
      </x:c>
      <x:c r="P50" s="22" t="n">
        <x:f>K50-L50-H50-I50-M50-N50-O50</x:f>
        <x:v>11.24607442497015</x:v>
      </x:c>
      <x:c r="Q50" s="29" t="n">
        <x:f>IF(K50&gt;0,P50/K50,0)</x:f>
        <x:v>0.16662702411334818</x:v>
      </x:c>
      <x:c r="R50" s="32" t="n">
        <x:f>ROUND(P50*F50,2)</x:f>
        <x:v>67.48</x:v>
      </x:c>
    </x:row>
    <x:row r="51">
      <x:c r="A51" s="19" t="str">
        <x:v>B0CLRY77WH</x:v>
      </x:c>
      <x:c r="B51" s="19" t="str">
        <x:v>PD17-blue&amp;grey-9x18</x:v>
      </x:c>
      <x:c r="C51" s="22" t="n">
        <x:v>119.99</x:v>
      </x:c>
      <x:c r="D51" s="22" t="str"/>
      <x:c r="E51" s="22"/>
      <x:c r="F51" s="25" t="n">
        <x:v>1</x:v>
      </x:c>
      <x:c r="G51" s="22" t="n">
        <x:v>153</x:v>
      </x:c>
      <x:c r="H51" s="22" t="n">
        <x:v>9.24</x:v>
      </x:c>
      <x:c r="I51" s="22" t="n">
        <x:v>23.074413047544176</x:v>
      </x:c>
      <x:c r="J51" s="22" t="n">
        <x:v>0</x:v>
      </x:c>
      <x:c r="K51" s="22" t="n">
        <x:f>IF(D51="原价调整",E51,IF(OR(E51="",E51=0),C51,C51*(1-E51)))</x:f>
        <x:v>119.99</x:v>
      </x:c>
      <x:c r="L51" s="22" t="n">
        <x:f>IFERROR(G51/$B$2,0)</x:f>
        <x:v>22.5</x:v>
      </x:c>
      <x:c r="M51" s="22" t="n">
        <x:f>L51*$D$2*$F$2</x:f>
        <x:v>1.06875</x:v>
      </x:c>
      <x:c r="N51" s="22" t="n">
        <x:f>IF(J51&gt;0,J51*$H$2,K51*$J$2)</x:f>
        <x:v>4.7996</x:v>
      </x:c>
      <x:c r="O51" s="22" t="n">
        <x:f>MAX(K51*$L$2,$N$2)</x:f>
        <x:v>17.9985</x:v>
      </x:c>
      <x:c r="P51" s="22" t="n">
        <x:f>K51-L51-H51-I51-M51-N51-O51</x:f>
        <x:v>41.30873695245584</x:v>
      </x:c>
      <x:c r="Q51" s="29" t="n">
        <x:f>IF(K51&gt;0,P51/K51,0)</x:f>
        <x:v>0.34426816361743345</x:v>
      </x:c>
      <x:c r="R51" s="32" t="n">
        <x:f>ROUND(P51*F51,2)</x:f>
        <x:v>41.31</x:v>
      </x:c>
    </x:row>
    <x:row r="52">
      <x:c r="A52" s="19" t="str">
        <x:v>B0CLRXW147</x:v>
      </x:c>
      <x:c r="B52" s="19" t="str">
        <x:v>PD17-blue&amp;grey-10x14</x:v>
      </x:c>
      <x:c r="C52" s="22" t="n">
        <x:v>115.99</x:v>
      </x:c>
      <x:c r="D52" s="22" t="str">
        <x:v>价格折扣</x:v>
      </x:c>
      <x:c r="E52" s="22" t="n">
        <x:v>0.2</x:v>
      </x:c>
      <x:c r="F52" s="25" t="n">
        <x:v>8</x:v>
      </x:c>
      <x:c r="G52" s="22" t="n">
        <x:v>139</x:v>
      </x:c>
      <x:c r="H52" s="22" t="n">
        <x:v>8.14</x:v>
      </x:c>
      <x:c r="I52" s="22" t="n">
        <x:v>21.409244790423024</x:v>
      </x:c>
      <x:c r="J52" s="22" t="n">
        <x:v>0</x:v>
      </x:c>
      <x:c r="K52" s="22" t="n">
        <x:f>IF(D52="原价调整",E52,IF(OR(E52="",E52=0),C52,C52*(1-E52)))</x:f>
        <x:v>92.792</x:v>
      </x:c>
      <x:c r="L52" s="22" t="n">
        <x:f>IFERROR(G52/$B$2,0)</x:f>
        <x:v>20.441176470588236</x:v>
      </x:c>
      <x:c r="M52" s="22" t="n">
        <x:f>L52*$D$2*$F$2</x:f>
        <x:v>0.9709558823529412</x:v>
      </x:c>
      <x:c r="N52" s="22" t="n">
        <x:f>IF(J52&gt;0,J52*$H$2,K52*$J$2)</x:f>
        <x:v>3.7116800000000003</x:v>
      </x:c>
      <x:c r="O52" s="22" t="n">
        <x:f>MAX(K52*$L$2,$N$2)</x:f>
        <x:v>13.9188</x:v>
      </x:c>
      <x:c r="P52" s="22" t="n">
        <x:f>K52-L52-H52-I52-M52-N52-O52</x:f>
        <x:v>24.200142856635807</x:v>
      </x:c>
      <x:c r="Q52" s="29" t="n">
        <x:f>IF(K52&gt;0,P52/K52,0)</x:f>
        <x:v>0.26079988422100836</x:v>
      </x:c>
      <x:c r="R52" s="32" t="n">
        <x:f>ROUND(P52*F52,2)</x:f>
        <x:v>193.6</x:v>
      </x:c>
    </x:row>
    <x:row r="53">
      <x:c r="A53" s="19" t="str">
        <x:v>B0DFHK8L32</x:v>
      </x:c>
      <x:c r="B53" s="19" t="str">
        <x:v>PD17-navyblue&amp;white-2.5x8</x:v>
      </x:c>
      <x:c r="C53" s="22" t="n">
        <x:v>31.99</x:v>
      </x:c>
      <x:c r="D53" s="22" t="str"/>
      <x:c r="E53" s="22"/>
      <x:c r="F53" s="25" t="n">
        <x:v>14</x:v>
      </x:c>
      <x:c r="G53" s="22" t="n">
        <x:v>34.05</x:v>
      </x:c>
      <x:c r="H53" s="22" t="n">
        <x:v>1.47</x:v>
      </x:c>
      <x:c r="I53" s="22" t="n">
        <x:v>7.688802701702446</x:v>
      </x:c>
      <x:c r="J53" s="22" t="n">
        <x:v>0</x:v>
      </x:c>
      <x:c r="K53" s="22" t="n">
        <x:f>IF(D53="原价调整",E53,IF(OR(E53="",E53=0),C53,C53*(1-E53)))</x:f>
        <x:v>31.99</x:v>
      </x:c>
      <x:c r="L53" s="22" t="n">
        <x:f>IFERROR(G53/$B$2,0)</x:f>
        <x:v>5.00735294117647</x:v>
      </x:c>
      <x:c r="M53" s="22" t="n">
        <x:f>L53*$D$2*$F$2</x:f>
        <x:v>0.23784926470588233</x:v>
      </x:c>
      <x:c r="N53" s="22" t="n">
        <x:f>IF(J53&gt;0,J53*$H$2,K53*$J$2)</x:f>
        <x:v>1.2796</x:v>
      </x:c>
      <x:c r="O53" s="22" t="n">
        <x:f>MAX(K53*$L$2,$N$2)</x:f>
        <x:v>4.7985</x:v>
      </x:c>
      <x:c r="P53" s="22" t="n">
        <x:f>K53-L53-H53-I53-M53-N53-O53</x:f>
        <x:v>11.5078950924152</x:v>
      </x:c>
      <x:c r="Q53" s="29" t="n">
        <x:f>IF(K53&gt;0,P53/K53,0)</x:f>
        <x:v>0.35973413855627384</x:v>
      </x:c>
      <x:c r="R53" s="32" t="n">
        <x:f>ROUND(P53*F53,2)</x:f>
        <x:v>161.11</x:v>
      </x:c>
    </x:row>
    <x:row r="54">
      <x:c r="A54" s="19" t="str">
        <x:v>B0CLRW1Z2Z</x:v>
      </x:c>
      <x:c r="B54" s="19" t="str">
        <x:v>PD17-navyblue&amp;white-3x5</x:v>
      </x:c>
      <x:c r="C54" s="22" t="n">
        <x:v>26.99</x:v>
      </x:c>
      <x:c r="D54" s="22" t="str"/>
      <x:c r="E54" s="22"/>
      <x:c r="F54" s="25" t="n">
        <x:v>0</x:v>
      </x:c>
      <x:c r="G54" s="22" t="n">
        <x:v>28</x:v>
      </x:c>
      <x:c r="H54" s="22" t="n">
        <x:v>0.98</x:v>
      </x:c>
      <x:c r="I54" s="22" t="n">
        <x:v>7.136987449222446</x:v>
      </x:c>
      <x:c r="J54" s="22" t="n">
        <x:v>0</x:v>
      </x:c>
      <x:c r="K54" s="22" t="n">
        <x:f>IF(D54="原价调整",E54,IF(OR(E54="",E54=0),C54,C54*(1-E54)))</x:f>
        <x:v>26.99</x:v>
      </x:c>
      <x:c r="L54" s="22" t="n">
        <x:f>IFERROR(G54/$B$2,0)</x:f>
        <x:v>4.11764705882353</x:v>
      </x:c>
      <x:c r="M54" s="22" t="n">
        <x:f>L54*$D$2*$F$2</x:f>
        <x:v>0.19558823529411767</x:v>
      </x:c>
      <x:c r="N54" s="22" t="n">
        <x:f>IF(J54&gt;0,J54*$H$2,K54*$J$2)</x:f>
        <x:v>1.0796</x:v>
      </x:c>
      <x:c r="O54" s="22" t="n">
        <x:f>MAX(K54*$L$2,$N$2)</x:f>
        <x:v>4.0485</x:v>
      </x:c>
      <x:c r="P54" s="22" t="n">
        <x:f>K54-L54-H54-I54-M54-N54-O54</x:f>
        <x:v>9.431677256659906</x:v>
      </x:c>
      <x:c r="Q54" s="29" t="n">
        <x:f>IF(K54&gt;0,P54/K54,0)</x:f>
        <x:v>0.3494508061007746</x:v>
      </x:c>
      <x:c r="R54" s="32" t="n">
        <x:f>ROUND(P54*F54,2)</x:f>
        <x:v>0</x:v>
      </x:c>
    </x:row>
    <x:row r="55">
      <x:c r="A55" s="19" t="str">
        <x:v>B0D415C6NL</x:v>
      </x:c>
      <x:c r="B55" s="19" t="str">
        <x:v>PD17-navyblue&amp;white-4x6</x:v>
      </x:c>
      <x:c r="C55" s="22" t="n">
        <x:v>29.99</x:v>
      </x:c>
      <x:c r="D55" s="22" t="str">
        <x:v>价格折扣</x:v>
      </x:c>
      <x:c r="E55" s="22" t="n">
        <x:v>0.15</x:v>
      </x:c>
      <x:c r="F55" s="25" t="n">
        <x:v>10</x:v>
      </x:c>
      <x:c r="G55" s="22" t="n">
        <x:v>35</x:v>
      </x:c>
      <x:c r="H55" s="22" t="n">
        <x:v>1.34</x:v>
      </x:c>
      <x:c r="I55" s="22" t="n">
        <x:v>7.572854957122302</x:v>
      </x:c>
      <x:c r="J55" s="22" t="n">
        <x:v>0</x:v>
      </x:c>
      <x:c r="K55" s="22" t="n">
        <x:f>IF(D55="原价调整",E55,IF(OR(E55="",E55=0),C55,C55*(1-E55)))</x:f>
        <x:v>25.4915</x:v>
      </x:c>
      <x:c r="L55" s="22" t="n">
        <x:f>IFERROR(G55/$B$2,0)</x:f>
        <x:v>5.147058823529412</x:v>
      </x:c>
      <x:c r="M55" s="22" t="n">
        <x:f>L55*$D$2*$F$2</x:f>
        <x:v>0.24448529411764708</x:v>
      </x:c>
      <x:c r="N55" s="22" t="n">
        <x:f>IF(J55&gt;0,J55*$H$2,K55*$J$2)</x:f>
        <x:v>1.01966</x:v>
      </x:c>
      <x:c r="O55" s="22" t="n">
        <x:f>MAX(K55*$L$2,$N$2)</x:f>
        <x:v>3.8237249999999996</x:v>
      </x:c>
      <x:c r="P55" s="22" t="n">
        <x:f>K55-L55-H55-I55-M55-N55-O55</x:f>
        <x:v>6.3437159252306365</x:v>
      </x:c>
      <x:c r="Q55" s="29" t="n">
        <x:f>IF(K55&gt;0,P55/K55,0)</x:f>
        <x:v>0.24885612558031645</x:v>
      </x:c>
      <x:c r="R55" s="32" t="n">
        <x:f>ROUND(P55*F55,2)</x:f>
        <x:v>63.44</x:v>
      </x:c>
    </x:row>
    <x:row r="56">
      <x:c r="A56" s="19" t="str">
        <x:v>B0C6Y1LXHG</x:v>
      </x:c>
      <x:c r="B56" s="19" t="str">
        <x:v>PD17-navyblue&amp;white-5x8</x:v>
      </x:c>
      <x:c r="C56" s="22" t="n">
        <x:v>39.99</x:v>
      </x:c>
      <x:c r="D56" s="22" t="str">
        <x:v>价格折扣</x:v>
      </x:c>
      <x:c r="E56" s="22" t="n">
        <x:v>0.3</x:v>
      </x:c>
      <x:c r="F56" s="25" t="n">
        <x:v>7</x:v>
      </x:c>
      <x:c r="G56" s="22" t="n">
        <x:v>50</x:v>
      </x:c>
      <x:c r="H56" s="22" t="n">
        <x:v>2.3</x:v>
      </x:c>
      <x:c r="I56" s="22" t="n">
        <x:v>8.737796706421872</x:v>
      </x:c>
      <x:c r="J56" s="22" t="n">
        <x:v>0</x:v>
      </x:c>
      <x:c r="K56" s="22" t="n">
        <x:f>IF(D56="原价调整",E56,IF(OR(E56="",E56=0),C56,C56*(1-E56)))</x:f>
        <x:v>27.993</x:v>
      </x:c>
      <x:c r="L56" s="22" t="n">
        <x:f>IFERROR(G56/$B$2,0)</x:f>
        <x:v>7.352941176470589</x:v>
      </x:c>
      <x:c r="M56" s="22" t="n">
        <x:f>L56*$D$2*$F$2</x:f>
        <x:v>0.349264705882353</x:v>
      </x:c>
      <x:c r="N56" s="22" t="n">
        <x:f>IF(J56&gt;0,J56*$H$2,K56*$J$2)</x:f>
        <x:v>1.11972</x:v>
      </x:c>
      <x:c r="O56" s="22" t="n">
        <x:f>MAX(K56*$L$2,$N$2)</x:f>
        <x:v>4.19895</x:v>
      </x:c>
      <x:c r="P56" s="22" t="n">
        <x:f>K56-L56-H56-I56-M56-N56-O56</x:f>
        <x:v>3.9343274112251834</x:v>
      </x:c>
      <x:c r="Q56" s="29" t="n">
        <x:f>IF(K56&gt;0,P56/K56,0)</x:f>
        <x:v>0.14054682996553367</x:v>
      </x:c>
      <x:c r="R56" s="32" t="n">
        <x:f>ROUND(P56*F56,2)</x:f>
        <x:v>27.54</x:v>
      </x:c>
    </x:row>
    <x:row r="57">
      <x:c r="A57" s="19" t="str">
        <x:v>B0CLRY388X</x:v>
      </x:c>
      <x:c r="B57" s="19" t="str">
        <x:v>PD17-navyblue&amp;white-6x9</x:v>
      </x:c>
      <x:c r="C57" s="22" t="n">
        <x:v>49.99</x:v>
      </x:c>
      <x:c r="D57" s="22" t="str">
        <x:v>价格折扣</x:v>
      </x:c>
      <x:c r="E57" s="22" t="n">
        <x:v>0.3</x:v>
      </x:c>
      <x:c r="F57" s="25" t="n">
        <x:v>10</x:v>
      </x:c>
      <x:c r="G57" s="22" t="n">
        <x:v>62.5</x:v>
      </x:c>
      <x:c r="H57" s="22" t="n">
        <x:v>3.66</x:v>
      </x:c>
      <x:c r="I57" s="22" t="n">
        <x:v>10.285513500859857</x:v>
      </x:c>
      <x:c r="J57" s="22" t="n">
        <x:v>0</x:v>
      </x:c>
      <x:c r="K57" s="22" t="n">
        <x:f>IF(D57="原价调整",E57,IF(OR(E57="",E57=0),C57,C57*(1-E57)))</x:f>
        <x:v>34.993</x:v>
      </x:c>
      <x:c r="L57" s="22" t="n">
        <x:f>IFERROR(G57/$B$2,0)</x:f>
        <x:v>9.191176470588236</x:v>
      </x:c>
      <x:c r="M57" s="22" t="n">
        <x:f>L57*$D$2*$F$2</x:f>
        <x:v>0.4365808823529412</x:v>
      </x:c>
      <x:c r="N57" s="22" t="n">
        <x:f>IF(J57&gt;0,J57*$H$2,K57*$J$2)</x:f>
        <x:v>1.39972</x:v>
      </x:c>
      <x:c r="O57" s="22" t="n">
        <x:f>MAX(K57*$L$2,$N$2)</x:f>
        <x:v>5.24895</x:v>
      </x:c>
      <x:c r="P57" s="22" t="n">
        <x:f>K57-L57-H57-I57-M57-N57-O57</x:f>
        <x:v>4.771059146198968</x:v>
      </x:c>
      <x:c r="Q57" s="29" t="n">
        <x:f>IF(K57&gt;0,P57/K57,0)</x:f>
        <x:v>0.1363432442545357</x:v>
      </x:c>
      <x:c r="R57" s="32" t="n">
        <x:f>ROUND(P57*F57,2)</x:f>
        <x:v>47.71</x:v>
      </x:c>
    </x:row>
    <x:row r="58">
      <x:c r="A58" s="19" t="str">
        <x:v>B0CLRWZW12</x:v>
      </x:c>
      <x:c r="B58" s="19" t="str">
        <x:v>PD17-navyblue&amp;white-8x10</x:v>
      </x:c>
      <x:c r="C58" s="22" t="n">
        <x:v>79.99</x:v>
      </x:c>
      <x:c r="D58" s="22" t="str">
        <x:v>价格折扣</x:v>
      </x:c>
      <x:c r="E58" s="22" t="n">
        <x:v>0.2</x:v>
      </x:c>
      <x:c r="F58" s="25" t="n">
        <x:v>5</x:v>
      </x:c>
      <x:c r="G58" s="22" t="n">
        <x:v>89</x:v>
      </x:c>
      <x:c r="H58" s="22" t="n">
        <x:v>5.4</x:v>
      </x:c>
      <x:c r="I58" s="22" t="n">
        <x:v>12.194666387117124</x:v>
      </x:c>
      <x:c r="J58" s="22" t="n">
        <x:v>0</x:v>
      </x:c>
      <x:c r="K58" s="22" t="n">
        <x:f>IF(D58="原价调整",E58,IF(OR(E58="",E58=0),C58,C58*(1-E58)))</x:f>
        <x:v>63.992</x:v>
      </x:c>
      <x:c r="L58" s="22" t="n">
        <x:f>IFERROR(G58/$B$2,0)</x:f>
        <x:v>13.088235294117647</x:v>
      </x:c>
      <x:c r="M58" s="22" t="n">
        <x:f>L58*$D$2*$F$2</x:f>
        <x:v>0.6216911764705882</x:v>
      </x:c>
      <x:c r="N58" s="22" t="n">
        <x:f>IF(J58&gt;0,J58*$H$2,K58*$J$2)</x:f>
        <x:v>2.5596799999999997</x:v>
      </x:c>
      <x:c r="O58" s="22" t="n">
        <x:f>MAX(K58*$L$2,$N$2)</x:f>
        <x:v>9.598799999999999</x:v>
      </x:c>
      <x:c r="P58" s="22" t="n">
        <x:f>K58-L58-H58-I58-M58-N58-O58</x:f>
        <x:v>20.52892714229464</x:v>
      </x:c>
      <x:c r="Q58" s="29" t="n">
        <x:f>IF(K58&gt;0,P58/K58,0)</x:f>
        <x:v>0.32080458717175026</x:v>
      </x:c>
      <x:c r="R58" s="32" t="n">
        <x:f>ROUND(P58*F58,2)</x:f>
        <x:v>102.64</x:v>
      </x:c>
    </x:row>
    <x:row r="59">
      <x:c r="A59" s="19" t="str">
        <x:v>B0CLRWHDSV</x:v>
      </x:c>
      <x:c r="B59" s="19" t="str">
        <x:v>PD17-navyblue&amp;white-9x12</x:v>
      </x:c>
      <x:c r="C59" s="22" t="n">
        <x:v>89.99</x:v>
      </x:c>
      <x:c r="D59" s="22" t="str">
        <x:v>价格折扣</x:v>
      </x:c>
      <x:c r="E59" s="22" t="n">
        <x:v>0.3</x:v>
      </x:c>
      <x:c r="F59" s="25" t="n">
        <x:v>4</x:v>
      </x:c>
      <x:c r="G59" s="22" t="n">
        <x:v>109</x:v>
      </x:c>
      <x:c r="H59" s="22" t="n">
        <x:v>7.22</x:v>
      </x:c>
      <x:c r="I59" s="22" t="n">
        <x:v>19.412041751500432</x:v>
      </x:c>
      <x:c r="J59" s="22" t="n">
        <x:v>0</x:v>
      </x:c>
      <x:c r="K59" s="22" t="n">
        <x:f>IF(D59="原价调整",E59,IF(OR(E59="",E59=0),C59,C59*(1-E59)))</x:f>
        <x:v>62.992999999999995</x:v>
      </x:c>
      <x:c r="L59" s="22" t="n">
        <x:f>IFERROR(G59/$B$2,0)</x:f>
        <x:v>16.029411764705884</x:v>
      </x:c>
      <x:c r="M59" s="22" t="n">
        <x:f>L59*$D$2*$F$2</x:f>
        <x:v>0.7613970588235295</x:v>
      </x:c>
      <x:c r="N59" s="22" t="n">
        <x:f>IF(J59&gt;0,J59*$H$2,K59*$J$2)</x:f>
        <x:v>2.51972</x:v>
      </x:c>
      <x:c r="O59" s="22" t="n">
        <x:f>MAX(K59*$L$2,$N$2)</x:f>
        <x:v>9.448949999999998</x:v>
      </x:c>
      <x:c r="P59" s="22" t="n">
        <x:f>K59-L59-H59-I59-M59-N59-O59</x:f>
        <x:v>7.601479424970153</x:v>
      </x:c>
      <x:c r="Q59" s="29" t="n">
        <x:f>IF(K59&gt;0,P59/K59,0)</x:f>
        <x:v>0.12067181155001593</x:v>
      </x:c>
      <x:c r="R59" s="32" t="n">
        <x:f>ROUND(P59*F59,2)</x:f>
        <x:v>30.41</x:v>
      </x:c>
    </x:row>
    <x:row r="60">
      <x:c r="A60" s="19" t="str">
        <x:v>B0CLRW5HWC</x:v>
      </x:c>
      <x:c r="B60" s="19" t="str">
        <x:v>PD17-navyblue&amp;white-9x18</x:v>
      </x:c>
      <x:c r="C60" s="22" t="n">
        <x:v>119.99</x:v>
      </x:c>
      <x:c r="D60" s="22" t="str">
        <x:v>价格折扣</x:v>
      </x:c>
      <x:c r="E60" s="22" t="n">
        <x:v>0.25</x:v>
      </x:c>
      <x:c r="F60" s="25" t="n">
        <x:v>3</x:v>
      </x:c>
      <x:c r="G60" s="22" t="n">
        <x:v>153</x:v>
      </x:c>
      <x:c r="H60" s="22" t="n">
        <x:v>9.24</x:v>
      </x:c>
      <x:c r="I60" s="22" t="n">
        <x:v>23.074413047544176</x:v>
      </x:c>
      <x:c r="J60" s="22" t="n">
        <x:v>0</x:v>
      </x:c>
      <x:c r="K60" s="22" t="n">
        <x:f>IF(D60="原价调整",E60,IF(OR(E60="",E60=0),C60,C60*(1-E60)))</x:f>
        <x:v>89.99249999999999</x:v>
      </x:c>
      <x:c r="L60" s="22" t="n">
        <x:f>IFERROR(G60/$B$2,0)</x:f>
        <x:v>22.5</x:v>
      </x:c>
      <x:c r="M60" s="22" t="n">
        <x:f>L60*$D$2*$F$2</x:f>
        <x:v>1.06875</x:v>
      </x:c>
      <x:c r="N60" s="22" t="n">
        <x:f>IF(J60&gt;0,J60*$H$2,K60*$J$2)</x:f>
        <x:v>3.5997</x:v>
      </x:c>
      <x:c r="O60" s="22" t="n">
        <x:f>MAX(K60*$L$2,$N$2)</x:f>
        <x:v>13.498874999999998</x:v>
      </x:c>
      <x:c r="P60" s="22" t="n">
        <x:f>K60-L60-H60-I60-M60-N60-O60</x:f>
        <x:v>17.010761952455816</x:v>
      </x:c>
      <x:c r="Q60" s="29" t="n">
        <x:f>IF(K60&gt;0,P60/K60,0)</x:f>
        <x:v>0.1890242181565777</x:v>
      </x:c>
      <x:c r="R60" s="32" t="n">
        <x:f>ROUND(P60*F60,2)</x:f>
        <x:v>51.03</x:v>
      </x:c>
    </x:row>
    <x:row r="61">
      <x:c r="A61" s="19" t="str">
        <x:v>B0CLRVVHGM</x:v>
      </x:c>
      <x:c r="B61" s="19" t="str">
        <x:v>PD17-navyblue&amp;white-10x14</x:v>
      </x:c>
      <x:c r="C61" s="22" t="n">
        <x:v>115.99</x:v>
      </x:c>
      <x:c r="D61" s="22" t="str">
        <x:v>价格折扣</x:v>
      </x:c>
      <x:c r="E61" s="22" t="n">
        <x:v>0.2</x:v>
      </x:c>
      <x:c r="F61" s="25" t="n">
        <x:v>2</x:v>
      </x:c>
      <x:c r="G61" s="22" t="n">
        <x:v>139</x:v>
      </x:c>
      <x:c r="H61" s="22" t="n">
        <x:v>8.14</x:v>
      </x:c>
      <x:c r="I61" s="22" t="n">
        <x:v>21.409244790423024</x:v>
      </x:c>
      <x:c r="J61" s="22" t="n">
        <x:v>0</x:v>
      </x:c>
      <x:c r="K61" s="22" t="n">
        <x:f>IF(D61="原价调整",E61,IF(OR(E61="",E61=0),C61,C61*(1-E61)))</x:f>
        <x:v>92.792</x:v>
      </x:c>
      <x:c r="L61" s="22" t="n">
        <x:f>IFERROR(G61/$B$2,0)</x:f>
        <x:v>20.441176470588236</x:v>
      </x:c>
      <x:c r="M61" s="22" t="n">
        <x:f>L61*$D$2*$F$2</x:f>
        <x:v>0.9709558823529412</x:v>
      </x:c>
      <x:c r="N61" s="22" t="n">
        <x:f>IF(J61&gt;0,J61*$H$2,K61*$J$2)</x:f>
        <x:v>3.7116800000000003</x:v>
      </x:c>
      <x:c r="O61" s="22" t="n">
        <x:f>MAX(K61*$L$2,$N$2)</x:f>
        <x:v>13.9188</x:v>
      </x:c>
      <x:c r="P61" s="22" t="n">
        <x:f>K61-L61-H61-I61-M61-N61-O61</x:f>
        <x:v>24.200142856635807</x:v>
      </x:c>
      <x:c r="Q61" s="29" t="n">
        <x:f>IF(K61&gt;0,P61/K61,0)</x:f>
        <x:v>0.26079988422100836</x:v>
      </x:c>
      <x:c r="R61" s="32" t="n">
        <x:f>ROUND(P61*F61,2)</x:f>
        <x:v>48.4</x:v>
      </x:c>
    </x:row>
    <x:row r="62">
      <x:c r="A62" s="19" t="str">
        <x:v>B0DFHGC252</x:v>
      </x:c>
      <x:c r="B62" s="19" t="str">
        <x:v>PD17-black&amp;beige-2.5x8</x:v>
      </x:c>
      <x:c r="C62" s="22" t="n">
        <x:v>31.99</x:v>
      </x:c>
      <x:c r="D62" s="22" t="str"/>
      <x:c r="E62" s="22"/>
      <x:c r="F62" s="25" t="n">
        <x:v>10</x:v>
      </x:c>
      <x:c r="G62" s="22" t="n">
        <x:v>34.05</x:v>
      </x:c>
      <x:c r="H62" s="22" t="n">
        <x:v>1.47</x:v>
      </x:c>
      <x:c r="I62" s="22" t="n">
        <x:v>7.688802701702446</x:v>
      </x:c>
      <x:c r="J62" s="22" t="n">
        <x:v>0</x:v>
      </x:c>
      <x:c r="K62" s="22" t="n">
        <x:f>IF(D62="原价调整",E62,IF(OR(E62="",E62=0),C62,C62*(1-E62)))</x:f>
        <x:v>31.99</x:v>
      </x:c>
      <x:c r="L62" s="22" t="n">
        <x:f>IFERROR(G62/$B$2,0)</x:f>
        <x:v>5.00735294117647</x:v>
      </x:c>
      <x:c r="M62" s="22" t="n">
        <x:f>L62*$D$2*$F$2</x:f>
        <x:v>0.23784926470588233</x:v>
      </x:c>
      <x:c r="N62" s="22" t="n">
        <x:f>IF(J62&gt;0,J62*$H$2,K62*$J$2)</x:f>
        <x:v>1.2796</x:v>
      </x:c>
      <x:c r="O62" s="22" t="n">
        <x:f>MAX(K62*$L$2,$N$2)</x:f>
        <x:v>4.7985</x:v>
      </x:c>
      <x:c r="P62" s="22" t="n">
        <x:f>K62-L62-H62-I62-M62-N62-O62</x:f>
        <x:v>11.5078950924152</x:v>
      </x:c>
      <x:c r="Q62" s="29" t="n">
        <x:f>IF(K62&gt;0,P62/K62,0)</x:f>
        <x:v>0.35973413855627384</x:v>
      </x:c>
      <x:c r="R62" s="32" t="n">
        <x:f>ROUND(P62*F62,2)</x:f>
        <x:v>115.08</x:v>
      </x:c>
    </x:row>
    <x:row r="63">
      <x:c r="A63" s="19" t="str">
        <x:v>B0CLRW5Z7T</x:v>
      </x:c>
      <x:c r="B63" s="19" t="str">
        <x:v>PD17-black&amp;beige-3x5</x:v>
      </x:c>
      <x:c r="C63" s="22" t="n">
        <x:v>26.99</x:v>
      </x:c>
      <x:c r="D63" s="22" t="str"/>
      <x:c r="E63" s="22"/>
      <x:c r="F63" s="25" t="n">
        <x:v>1</x:v>
      </x:c>
      <x:c r="G63" s="22" t="n">
        <x:v>28</x:v>
      </x:c>
      <x:c r="H63" s="22" t="n">
        <x:v>0.98</x:v>
      </x:c>
      <x:c r="I63" s="22" t="n">
        <x:v>7.136987449222446</x:v>
      </x:c>
      <x:c r="J63" s="22" t="n">
        <x:v>0</x:v>
      </x:c>
      <x:c r="K63" s="22" t="n">
        <x:f>IF(D63="原价调整",E63,IF(OR(E63="",E63=0),C63,C63*(1-E63)))</x:f>
        <x:v>26.99</x:v>
      </x:c>
      <x:c r="L63" s="22" t="n">
        <x:f>IFERROR(G63/$B$2,0)</x:f>
        <x:v>4.11764705882353</x:v>
      </x:c>
      <x:c r="M63" s="22" t="n">
        <x:f>L63*$D$2*$F$2</x:f>
        <x:v>0.19558823529411767</x:v>
      </x:c>
      <x:c r="N63" s="22" t="n">
        <x:f>IF(J63&gt;0,J63*$H$2,K63*$J$2)</x:f>
        <x:v>1.0796</x:v>
      </x:c>
      <x:c r="O63" s="22" t="n">
        <x:f>MAX(K63*$L$2,$N$2)</x:f>
        <x:v>4.0485</x:v>
      </x:c>
      <x:c r="P63" s="22" t="n">
        <x:f>K63-L63-H63-I63-M63-N63-O63</x:f>
        <x:v>9.431677256659906</x:v>
      </x:c>
      <x:c r="Q63" s="29" t="n">
        <x:f>IF(K63&gt;0,P63/K63,0)</x:f>
        <x:v>0.3494508061007746</x:v>
      </x:c>
      <x:c r="R63" s="32" t="n">
        <x:f>ROUND(P63*F63,2)</x:f>
        <x:v>9.43</x:v>
      </x:c>
    </x:row>
    <x:row r="64">
      <x:c r="A64" s="19" t="str">
        <x:v>B0D415FDQN</x:v>
      </x:c>
      <x:c r="B64" s="19" t="str">
        <x:v>PD17-black&amp;beige-4x6</x:v>
      </x:c>
      <x:c r="C64" s="22" t="n">
        <x:v>29.99</x:v>
      </x:c>
      <x:c r="D64" s="22" t="str">
        <x:v>价格折扣</x:v>
      </x:c>
      <x:c r="E64" s="22" t="n">
        <x:v>0.15</x:v>
      </x:c>
      <x:c r="F64" s="25" t="n">
        <x:v>6</x:v>
      </x:c>
      <x:c r="G64" s="22" t="n">
        <x:v>35</x:v>
      </x:c>
      <x:c r="H64" s="22" t="n">
        <x:v>1.34</x:v>
      </x:c>
      <x:c r="I64" s="22" t="n">
        <x:v>7.572854957122302</x:v>
      </x:c>
      <x:c r="J64" s="22" t="n">
        <x:v>0</x:v>
      </x:c>
      <x:c r="K64" s="22" t="n">
        <x:f>IF(D64="原价调整",E64,IF(OR(E64="",E64=0),C64,C64*(1-E64)))</x:f>
        <x:v>25.4915</x:v>
      </x:c>
      <x:c r="L64" s="22" t="n">
        <x:f>IFERROR(G64/$B$2,0)</x:f>
        <x:v>5.147058823529412</x:v>
      </x:c>
      <x:c r="M64" s="22" t="n">
        <x:f>L64*$D$2*$F$2</x:f>
        <x:v>0.24448529411764708</x:v>
      </x:c>
      <x:c r="N64" s="22" t="n">
        <x:f>IF(J64&gt;0,J64*$H$2,K64*$J$2)</x:f>
        <x:v>1.01966</x:v>
      </x:c>
      <x:c r="O64" s="22" t="n">
        <x:f>MAX(K64*$L$2,$N$2)</x:f>
        <x:v>3.8237249999999996</x:v>
      </x:c>
      <x:c r="P64" s="22" t="n">
        <x:f>K64-L64-H64-I64-M64-N64-O64</x:f>
        <x:v>6.3437159252306365</x:v>
      </x:c>
      <x:c r="Q64" s="29" t="n">
        <x:f>IF(K64&gt;0,P64/K64,0)</x:f>
        <x:v>0.24885612558031645</x:v>
      </x:c>
      <x:c r="R64" s="32" t="n">
        <x:f>ROUND(P64*F64,2)</x:f>
        <x:v>38.06</x:v>
      </x:c>
    </x:row>
    <x:row r="65">
      <x:c r="A65" s="19" t="str">
        <x:v>B0C6Y23BZZ</x:v>
      </x:c>
      <x:c r="B65" s="19" t="str">
        <x:v>PD17-black&amp;beige-5x8</x:v>
      </x:c>
      <x:c r="C65" s="22" t="n">
        <x:v>39.99</x:v>
      </x:c>
      <x:c r="D65" s="22" t="str">
        <x:v>价格折扣</x:v>
      </x:c>
      <x:c r="E65" s="22" t="n">
        <x:v>0.25</x:v>
      </x:c>
      <x:c r="F65" s="25" t="n">
        <x:v>22</x:v>
      </x:c>
      <x:c r="G65" s="22" t="n">
        <x:v>50</x:v>
      </x:c>
      <x:c r="H65" s="22" t="n">
        <x:v>2.3</x:v>
      </x:c>
      <x:c r="I65" s="22" t="n">
        <x:v>8.737796706421872</x:v>
      </x:c>
      <x:c r="J65" s="22" t="n">
        <x:v>0</x:v>
      </x:c>
      <x:c r="K65" s="22" t="n">
        <x:f>IF(D65="原价调整",E65,IF(OR(E65="",E65=0),C65,C65*(1-E65)))</x:f>
        <x:v>29.9925</x:v>
      </x:c>
      <x:c r="L65" s="22" t="n">
        <x:f>IFERROR(G65/$B$2,0)</x:f>
        <x:v>7.352941176470589</x:v>
      </x:c>
      <x:c r="M65" s="22" t="n">
        <x:f>L65*$D$2*$F$2</x:f>
        <x:v>0.349264705882353</x:v>
      </x:c>
      <x:c r="N65" s="22" t="n">
        <x:f>IF(J65&gt;0,J65*$H$2,K65*$J$2)</x:f>
        <x:v>1.1997</x:v>
      </x:c>
      <x:c r="O65" s="22" t="n">
        <x:f>MAX(K65*$L$2,$N$2)</x:f>
        <x:v>4.498875</x:v>
      </x:c>
      <x:c r="P65" s="22" t="n">
        <x:f>K65-L65-H65-I65-M65-N65-O65</x:f>
        <x:v>5.553922411225187</x:v>
      </x:c>
      <x:c r="Q65" s="29" t="n">
        <x:f>IF(K65&gt;0,P65/K65,0)</x:f>
        <x:v>0.18517704130116486</x:v>
      </x:c>
      <x:c r="R65" s="32" t="n">
        <x:f>ROUND(P65*F65,2)</x:f>
        <x:v>122.19</x:v>
      </x:c>
    </x:row>
    <x:row r="66">
      <x:c r="A66" s="19" t="str">
        <x:v>B0CLRWFP8N</x:v>
      </x:c>
      <x:c r="B66" s="19" t="str">
        <x:v>PD17-black&amp;beige-6x9</x:v>
      </x:c>
      <x:c r="C66" s="22" t="n">
        <x:v>49.99</x:v>
      </x:c>
      <x:c r="D66" s="22" t="str">
        <x:v>价格折扣</x:v>
      </x:c>
      <x:c r="E66" s="22" t="n">
        <x:v>0.25</x:v>
      </x:c>
      <x:c r="F66" s="25" t="n">
        <x:v>12</x:v>
      </x:c>
      <x:c r="G66" s="22" t="n">
        <x:v>62.5</x:v>
      </x:c>
      <x:c r="H66" s="22" t="n">
        <x:v>3.66</x:v>
      </x:c>
      <x:c r="I66" s="22" t="n">
        <x:v>10.285513500859857</x:v>
      </x:c>
      <x:c r="J66" s="22" t="n">
        <x:v>0</x:v>
      </x:c>
      <x:c r="K66" s="22" t="n">
        <x:f>IF(D66="原价调整",E66,IF(OR(E66="",E66=0),C66,C66*(1-E66)))</x:f>
        <x:v>37.4925</x:v>
      </x:c>
      <x:c r="L66" s="22" t="n">
        <x:f>IFERROR(G66/$B$2,0)</x:f>
        <x:v>9.191176470588236</x:v>
      </x:c>
      <x:c r="M66" s="22" t="n">
        <x:f>L66*$D$2*$F$2</x:f>
        <x:v>0.4365808823529412</x:v>
      </x:c>
      <x:c r="N66" s="22" t="n">
        <x:f>IF(J66&gt;0,J66*$H$2,K66*$J$2)</x:f>
        <x:v>1.4997</x:v>
      </x:c>
      <x:c r="O66" s="22" t="n">
        <x:f>MAX(K66*$L$2,$N$2)</x:f>
        <x:v>5.623875</x:v>
      </x:c>
      <x:c r="P66" s="22" t="n">
        <x:f>K66-L66-H66-I66-M66-N66-O66</x:f>
        <x:v>6.795654146198965</x:v>
      </x:c>
      <x:c r="Q66" s="29" t="n">
        <x:f>IF(K66&gt;0,P66/K66,0)</x:f>
        <x:v>0.18125369463756658</x:v>
      </x:c>
      <x:c r="R66" s="32" t="n">
        <x:f>ROUND(P66*F66,2)</x:f>
        <x:v>81.55</x:v>
      </x:c>
    </x:row>
    <x:row r="67">
      <x:c r="A67" s="19" t="str">
        <x:v>B0CLRX194L</x:v>
      </x:c>
      <x:c r="B67" s="19" t="str">
        <x:v>PD17-black&amp;beige-8x10</x:v>
      </x:c>
      <x:c r="C67" s="22" t="n">
        <x:v>79.99</x:v>
      </x:c>
      <x:c r="D67" s="22" t="str">
        <x:v>价格折扣</x:v>
      </x:c>
      <x:c r="E67" s="22" t="n">
        <x:v>0.25</x:v>
      </x:c>
      <x:c r="F67" s="25" t="n">
        <x:v>12</x:v>
      </x:c>
      <x:c r="G67" s="22" t="n">
        <x:v>89</x:v>
      </x:c>
      <x:c r="H67" s="22" t="n">
        <x:v>5.4</x:v>
      </x:c>
      <x:c r="I67" s="22" t="n">
        <x:v>12.194666387117124</x:v>
      </x:c>
      <x:c r="J67" s="22" t="n">
        <x:v>0</x:v>
      </x:c>
      <x:c r="K67" s="22" t="n">
        <x:f>IF(D67="原价调整",E67,IF(OR(E67="",E67=0),C67,C67*(1-E67)))</x:f>
        <x:v>59.99249999999999</x:v>
      </x:c>
      <x:c r="L67" s="22" t="n">
        <x:f>IFERROR(G67/$B$2,0)</x:f>
        <x:v>13.088235294117647</x:v>
      </x:c>
      <x:c r="M67" s="22" t="n">
        <x:f>L67*$D$2*$F$2</x:f>
        <x:v>0.6216911764705882</x:v>
      </x:c>
      <x:c r="N67" s="22" t="n">
        <x:f>IF(J67&gt;0,J67*$H$2,K67*$J$2)</x:f>
        <x:v>2.3996999999999997</x:v>
      </x:c>
      <x:c r="O67" s="22" t="n">
        <x:f>MAX(K67*$L$2,$N$2)</x:f>
        <x:v>8.998874999999998</x:v>
      </x:c>
      <x:c r="P67" s="22" t="n">
        <x:f>K67-L67-H67-I67-M67-N67-O67</x:f>
        <x:v>17.28933214229464</x:v>
      </x:c>
      <x:c r="Q67" s="29" t="n">
        <x:f>IF(K67&gt;0,P67/K67,0)</x:f>
        <x:v>0.2881915596498669</x:v>
      </x:c>
      <x:c r="R67" s="32" t="n">
        <x:f>ROUND(P67*F67,2)</x:f>
        <x:v>207.47</x:v>
      </x:c>
    </x:row>
    <x:row r="68">
      <x:c r="A68" s="19" t="str">
        <x:v>B0CLRXKH4R</x:v>
      </x:c>
      <x:c r="B68" s="19" t="str">
        <x:v>PD17-black&amp;beige-9x12</x:v>
      </x:c>
      <x:c r="C68" s="22" t="n">
        <x:v>89.99</x:v>
      </x:c>
      <x:c r="D68" s="22" t="str">
        <x:v>价格折扣</x:v>
      </x:c>
      <x:c r="E68" s="22" t="n">
        <x:v>0.25</x:v>
      </x:c>
      <x:c r="F68" s="25" t="n">
        <x:v>8</x:v>
      </x:c>
      <x:c r="G68" s="22" t="n">
        <x:v>109</x:v>
      </x:c>
      <x:c r="H68" s="22" t="n">
        <x:v>7.22</x:v>
      </x:c>
      <x:c r="I68" s="22" t="n">
        <x:v>19.412041751500432</x:v>
      </x:c>
      <x:c r="J68" s="22" t="n">
        <x:v>0</x:v>
      </x:c>
      <x:c r="K68" s="22" t="n">
        <x:f>IF(D68="原价调整",E68,IF(OR(E68="",E68=0),C68,C68*(1-E68)))</x:f>
        <x:v>67.49249999999999</x:v>
      </x:c>
      <x:c r="L68" s="22" t="n">
        <x:f>IFERROR(G68/$B$2,0)</x:f>
        <x:v>16.029411764705884</x:v>
      </x:c>
      <x:c r="M68" s="22" t="n">
        <x:f>L68*$D$2*$F$2</x:f>
        <x:v>0.7613970588235295</x:v>
      </x:c>
      <x:c r="N68" s="22" t="n">
        <x:f>IF(J68&gt;0,J68*$H$2,K68*$J$2)</x:f>
        <x:v>2.6996999999999995</x:v>
      </x:c>
      <x:c r="O68" s="22" t="n">
        <x:f>MAX(K68*$L$2,$N$2)</x:f>
        <x:v>10.123874999999998</x:v>
      </x:c>
      <x:c r="P68" s="22" t="n">
        <x:f>K68-L68-H68-I68-M68-N68-O68</x:f>
        <x:v>11.24607442497015</x:v>
      </x:c>
      <x:c r="Q68" s="29" t="n">
        <x:f>IF(K68&gt;0,P68/K68,0)</x:f>
        <x:v>0.16662702411334818</x:v>
      </x:c>
      <x:c r="R68" s="32" t="n">
        <x:f>ROUND(P68*F68,2)</x:f>
        <x:v>89.97</x:v>
      </x:c>
    </x:row>
    <x:row r="69">
      <x:c r="A69" s="19" t="str">
        <x:v>B0CLRYHHYQ</x:v>
      </x:c>
      <x:c r="B69" s="19" t="str">
        <x:v>PD17-black&amp;beige-9x18</x:v>
      </x:c>
      <x:c r="C69" s="22" t="n">
        <x:v>119.99</x:v>
      </x:c>
      <x:c r="D69" s="22" t="str">
        <x:v>价格折扣</x:v>
      </x:c>
      <x:c r="E69" s="22" t="n">
        <x:v>0.25</x:v>
      </x:c>
      <x:c r="F69" s="25" t="n">
        <x:v>3</x:v>
      </x:c>
      <x:c r="G69" s="22" t="n">
        <x:v>153</x:v>
      </x:c>
      <x:c r="H69" s="22" t="n">
        <x:v>9.24</x:v>
      </x:c>
      <x:c r="I69" s="22" t="n">
        <x:v>23.074413047544176</x:v>
      </x:c>
      <x:c r="J69" s="22" t="n">
        <x:v>0</x:v>
      </x:c>
      <x:c r="K69" s="22" t="n">
        <x:f>IF(D69="原价调整",E69,IF(OR(E69="",E69=0),C69,C69*(1-E69)))</x:f>
        <x:v>89.99249999999999</x:v>
      </x:c>
      <x:c r="L69" s="22" t="n">
        <x:f>IFERROR(G69/$B$2,0)</x:f>
        <x:v>22.5</x:v>
      </x:c>
      <x:c r="M69" s="22" t="n">
        <x:f>L69*$D$2*$F$2</x:f>
        <x:v>1.06875</x:v>
      </x:c>
      <x:c r="N69" s="22" t="n">
        <x:f>IF(J69&gt;0,J69*$H$2,K69*$J$2)</x:f>
        <x:v>3.5997</x:v>
      </x:c>
      <x:c r="O69" s="22" t="n">
        <x:f>MAX(K69*$L$2,$N$2)</x:f>
        <x:v>13.498874999999998</x:v>
      </x:c>
      <x:c r="P69" s="22" t="n">
        <x:f>K69-L69-H69-I69-M69-N69-O69</x:f>
        <x:v>17.010761952455816</x:v>
      </x:c>
      <x:c r="Q69" s="29" t="n">
        <x:f>IF(K69&gt;0,P69/K69,0)</x:f>
        <x:v>0.1890242181565777</x:v>
      </x:c>
      <x:c r="R69" s="32" t="n">
        <x:f>ROUND(P69*F69,2)</x:f>
        <x:v>51.03</x:v>
      </x:c>
    </x:row>
    <x:row r="70">
      <x:c r="A70" s="19" t="str">
        <x:v>B0CLRWLMXX</x:v>
      </x:c>
      <x:c r="B70" s="19" t="str">
        <x:v>PD17-black&amp;beige-10x14</x:v>
      </x:c>
      <x:c r="C70" s="22" t="n">
        <x:v>115.99</x:v>
      </x:c>
      <x:c r="D70" s="22" t="str">
        <x:v>价格折扣</x:v>
      </x:c>
      <x:c r="E70" s="22" t="n">
        <x:v>0.3</x:v>
      </x:c>
      <x:c r="F70" s="25" t="n">
        <x:v>3</x:v>
      </x:c>
      <x:c r="G70" s="22" t="n">
        <x:v>139</x:v>
      </x:c>
      <x:c r="H70" s="22" t="n">
        <x:v>8.14</x:v>
      </x:c>
      <x:c r="I70" s="22" t="n">
        <x:v>21.409244790423024</x:v>
      </x:c>
      <x:c r="J70" s="22" t="n">
        <x:v>0</x:v>
      </x:c>
      <x:c r="K70" s="22" t="n">
        <x:f>IF(D70="原价调整",E70,IF(OR(E70="",E70=0),C70,C70*(1-E70)))</x:f>
        <x:v>81.193</x:v>
      </x:c>
      <x:c r="L70" s="22" t="n">
        <x:f>IFERROR(G70/$B$2,0)</x:f>
        <x:v>20.441176470588236</x:v>
      </x:c>
      <x:c r="M70" s="22" t="n">
        <x:f>L70*$D$2*$F$2</x:f>
        <x:v>0.9709558823529412</x:v>
      </x:c>
      <x:c r="N70" s="22" t="n">
        <x:f>IF(J70&gt;0,J70*$H$2,K70*$J$2)</x:f>
        <x:v>3.24772</x:v>
      </x:c>
      <x:c r="O70" s="22" t="n">
        <x:f>MAX(K70*$L$2,$N$2)</x:f>
        <x:v>12.178949999999999</x:v>
      </x:c>
      <x:c r="P70" s="22" t="n">
        <x:f>K70-L70-H70-I70-M70-N70-O70</x:f>
        <x:v>14.804952856635799</x:v>
      </x:c>
      <x:c r="Q70" s="29" t="n">
        <x:f>IF(K70&gt;0,P70/K70,0)</x:f>
        <x:v>0.18234272482400946</x:v>
      </x:c>
      <x:c r="R70" s="32" t="n">
        <x:f>ROUND(P70*F70,2)</x:f>
        <x:v>44.41</x:v>
      </x:c>
    </x:row>
    <x:row r="71">
      <x:c r="A71" s="19" t="str">
        <x:v>B0BNC18Q21</x:v>
      </x:c>
      <x:c r="B71" s="19" t="str">
        <x:v>PD17-darkgreen-5x8</x:v>
      </x:c>
      <x:c r="C71" s="22" t="n">
        <x:v>39.99</x:v>
      </x:c>
      <x:c r="D71" s="22" t="str">
        <x:v>价格折扣</x:v>
      </x:c>
      <x:c r="E71" s="22" t="n">
        <x:v>0.1</x:v>
      </x:c>
      <x:c r="F71" s="25" t="n">
        <x:v>12</x:v>
      </x:c>
      <x:c r="G71" s="22" t="n">
        <x:v>50</x:v>
      </x:c>
      <x:c r="H71" s="22" t="n">
        <x:v>2.3</x:v>
      </x:c>
      <x:c r="I71" s="22" t="n">
        <x:v>8.737796706421872</x:v>
      </x:c>
      <x:c r="J71" s="22" t="n">
        <x:v>0</x:v>
      </x:c>
      <x:c r="K71" s="22" t="n">
        <x:f>IF(D71="原价调整",E71,IF(OR(E71="",E71=0),C71,C71*(1-E71)))</x:f>
        <x:v>35.991</x:v>
      </x:c>
      <x:c r="L71" s="22" t="n">
        <x:f>IFERROR(G71/$B$2,0)</x:f>
        <x:v>7.352941176470589</x:v>
      </x:c>
      <x:c r="M71" s="22" t="n">
        <x:f>L71*$D$2*$F$2</x:f>
        <x:v>0.349264705882353</x:v>
      </x:c>
      <x:c r="N71" s="22" t="n">
        <x:f>IF(J71&gt;0,J71*$H$2,K71*$J$2)</x:f>
        <x:v>1.43964</x:v>
      </x:c>
      <x:c r="O71" s="22" t="n">
        <x:f>MAX(K71*$L$2,$N$2)</x:f>
        <x:v>5.39865</x:v>
      </x:c>
      <x:c r="P71" s="22" t="n">
        <x:f>K71-L71-H71-I71-M71-N71-O71</x:f>
        <x:v>10.412707411225188</x:v>
      </x:c>
      <x:c r="Q71" s="29" t="n">
        <x:f>IF(K71&gt;0,P71/K71,0)</x:f>
        <x:v>0.2893142010843041</x:v>
      </x:c>
      <x:c r="R71" s="32" t="n">
        <x:f>ROUND(P71*F71,2)</x:f>
        <x:v>124.95</x:v>
      </x:c>
    </x:row>
    <x:row r="72">
      <x:c r="A72" s="19" t="str">
        <x:v>B0BXNVFJWZ</x:v>
      </x:c>
      <x:c r="B72" s="19" t="str">
        <x:v>PD17-darkgreen-6x9</x:v>
      </x:c>
      <x:c r="C72" s="22" t="n">
        <x:v>49.99</x:v>
      </x:c>
      <x:c r="D72" s="22" t="str">
        <x:v>价格折扣</x:v>
      </x:c>
      <x:c r="E72" s="22" t="n">
        <x:v>0.15</x:v>
      </x:c>
      <x:c r="F72" s="25" t="n">
        <x:v>5</x:v>
      </x:c>
      <x:c r="G72" s="22" t="n">
        <x:v>62.5</x:v>
      </x:c>
      <x:c r="H72" s="22" t="n">
        <x:v>3.66</x:v>
      </x:c>
      <x:c r="I72" s="22" t="n">
        <x:v>10.285513500859857</x:v>
      </x:c>
      <x:c r="J72" s="22" t="n">
        <x:v>0</x:v>
      </x:c>
      <x:c r="K72" s="22" t="n">
        <x:f>IF(D72="原价调整",E72,IF(OR(E72="",E72=0),C72,C72*(1-E72)))</x:f>
        <x:v>42.4915</x:v>
      </x:c>
      <x:c r="L72" s="22" t="n">
        <x:f>IFERROR(G72/$B$2,0)</x:f>
        <x:v>9.191176470588236</x:v>
      </x:c>
      <x:c r="M72" s="22" t="n">
        <x:f>L72*$D$2*$F$2</x:f>
        <x:v>0.4365808823529412</x:v>
      </x:c>
      <x:c r="N72" s="22" t="n">
        <x:f>IF(J72&gt;0,J72*$H$2,K72*$J$2)</x:f>
        <x:v>1.6996600000000002</x:v>
      </x:c>
      <x:c r="O72" s="22" t="n">
        <x:f>MAX(K72*$L$2,$N$2)</x:f>
        <x:v>6.373725</x:v>
      </x:c>
      <x:c r="P72" s="22" t="n">
        <x:f>K72-L72-H72-I72-M72-N72-O72</x:f>
        <x:v>10.84484414619897</x:v>
      </x:c>
      <x:c r="Q72" s="29" t="n">
        <x:f>IF(K72&gt;0,P72/K72,0)</x:f>
        <x:v>0.2552238482096177</x:v>
      </x:c>
      <x:c r="R72" s="32" t="n">
        <x:f>ROUND(P72*F72,2)</x:f>
        <x:v>54.22</x:v>
      </x:c>
    </x:row>
    <x:row r="73">
      <x:c r="A73" s="19" t="str">
        <x:v>B0BXNVB1HL</x:v>
      </x:c>
      <x:c r="B73" s="19" t="str">
        <x:v>PD17-darkgreen-8x10</x:v>
      </x:c>
      <x:c r="C73" s="22" t="n">
        <x:v>79.99</x:v>
      </x:c>
      <x:c r="D73" s="22" t="str">
        <x:v>价格折扣</x:v>
      </x:c>
      <x:c r="E73" s="22" t="n">
        <x:v>0.25</x:v>
      </x:c>
      <x:c r="F73" s="25" t="n">
        <x:v>6</x:v>
      </x:c>
      <x:c r="G73" s="22" t="n">
        <x:v>89</x:v>
      </x:c>
      <x:c r="H73" s="22" t="n">
        <x:v>5.4</x:v>
      </x:c>
      <x:c r="I73" s="22" t="n">
        <x:v>12.194666387117124</x:v>
      </x:c>
      <x:c r="J73" s="22" t="n">
        <x:v>0</x:v>
      </x:c>
      <x:c r="K73" s="22" t="n">
        <x:f>IF(D73="原价调整",E73,IF(OR(E73="",E73=0),C73,C73*(1-E73)))</x:f>
        <x:v>59.99249999999999</x:v>
      </x:c>
      <x:c r="L73" s="22" t="n">
        <x:f>IFERROR(G73/$B$2,0)</x:f>
        <x:v>13.088235294117647</x:v>
      </x:c>
      <x:c r="M73" s="22" t="n">
        <x:f>L73*$D$2*$F$2</x:f>
        <x:v>0.6216911764705882</x:v>
      </x:c>
      <x:c r="N73" s="22" t="n">
        <x:f>IF(J73&gt;0,J73*$H$2,K73*$J$2)</x:f>
        <x:v>2.3996999999999997</x:v>
      </x:c>
      <x:c r="O73" s="22" t="n">
        <x:f>MAX(K73*$L$2,$N$2)</x:f>
        <x:v>8.998874999999998</x:v>
      </x:c>
      <x:c r="P73" s="22" t="n">
        <x:f>K73-L73-H73-I73-M73-N73-O73</x:f>
        <x:v>17.28933214229464</x:v>
      </x:c>
      <x:c r="Q73" s="29" t="n">
        <x:f>IF(K73&gt;0,P73/K73,0)</x:f>
        <x:v>0.2881915596498669</x:v>
      </x:c>
      <x:c r="R73" s="32" t="n">
        <x:f>ROUND(P73*F73,2)</x:f>
        <x:v>103.74</x:v>
      </x:c>
    </x:row>
    <x:row r="74">
      <x:c r="A74" s="19" t="str">
        <x:v>B0BXNXWBCJ</x:v>
      </x:c>
      <x:c r="B74" s="19" t="str">
        <x:v>PD17-darkgreen-9x12</x:v>
      </x:c>
      <x:c r="C74" s="22" t="n">
        <x:v>89.99</x:v>
      </x:c>
      <x:c r="D74" s="22" t="str">
        <x:v>价格折扣</x:v>
      </x:c>
      <x:c r="E74" s="22" t="n">
        <x:v>0.2</x:v>
      </x:c>
      <x:c r="F74" s="25" t="n">
        <x:v>8</x:v>
      </x:c>
      <x:c r="G74" s="22" t="n">
        <x:v>109</x:v>
      </x:c>
      <x:c r="H74" s="22" t="n">
        <x:v>7.22</x:v>
      </x:c>
      <x:c r="I74" s="22" t="n">
        <x:v>19.412041751500432</x:v>
      </x:c>
      <x:c r="J74" s="22" t="n">
        <x:v>0</x:v>
      </x:c>
      <x:c r="K74" s="22" t="n">
        <x:f>IF(D74="原价调整",E74,IF(OR(E74="",E74=0),C74,C74*(1-E74)))</x:f>
        <x:v>71.992</x:v>
      </x:c>
      <x:c r="L74" s="22" t="n">
        <x:f>IFERROR(G74/$B$2,0)</x:f>
        <x:v>16.029411764705884</x:v>
      </x:c>
      <x:c r="M74" s="22" t="n">
        <x:f>L74*$D$2*$F$2</x:f>
        <x:v>0.7613970588235295</x:v>
      </x:c>
      <x:c r="N74" s="22" t="n">
        <x:f>IF(J74&gt;0,J74*$H$2,K74*$J$2)</x:f>
        <x:v>2.87968</x:v>
      </x:c>
      <x:c r="O74" s="22" t="n">
        <x:f>MAX(K74*$L$2,$N$2)</x:f>
        <x:v>10.7988</x:v>
      </x:c>
      <x:c r="P74" s="22" t="n">
        <x:f>K74-L74-H74-I74-M74-N74-O74</x:f>
        <x:v>14.89066942497016</x:v>
      </x:c>
      <x:c r="Q74" s="29" t="n">
        <x:f>IF(K74&gt;0,P74/K74,0)</x:f>
        <x:v>0.206837835106264</x:v>
      </x:c>
      <x:c r="R74" s="32" t="n">
        <x:f>ROUND(P74*F74,2)</x:f>
        <x:v>119.13</x:v>
      </x:c>
    </x:row>
    <x:row r="75">
      <x:c r="A75" s="19" t="str">
        <x:v>B0DFHH9XWH</x:v>
      </x:c>
      <x:c r="B75" s="19" t="str">
        <x:v>PD17-darkgreen-10x14</x:v>
      </x:c>
      <x:c r="C75" s="22" t="n">
        <x:v>115.99</x:v>
      </x:c>
      <x:c r="D75" s="22" t="str">
        <x:v>价格折扣</x:v>
      </x:c>
      <x:c r="E75" s="22" t="n">
        <x:v>0.25</x:v>
      </x:c>
      <x:c r="F75" s="25" t="n">
        <x:v>0</x:v>
      </x:c>
      <x:c r="G75" s="22" t="n">
        <x:v>139</x:v>
      </x:c>
      <x:c r="H75" s="22" t="n">
        <x:v>8.14</x:v>
      </x:c>
      <x:c r="I75" s="22" t="n">
        <x:v>21.409244790423024</x:v>
      </x:c>
      <x:c r="J75" s="22" t="n">
        <x:v>0</x:v>
      </x:c>
      <x:c r="K75" s="22" t="n">
        <x:f>IF(D75="原价调整",E75,IF(OR(E75="",E75=0),C75,C75*(1-E75)))</x:f>
        <x:v>86.99249999999999</x:v>
      </x:c>
      <x:c r="L75" s="22" t="n">
        <x:f>IFERROR(G75/$B$2,0)</x:f>
        <x:v>20.441176470588236</x:v>
      </x:c>
      <x:c r="M75" s="22" t="n">
        <x:f>L75*$D$2*$F$2</x:f>
        <x:v>0.9709558823529412</x:v>
      </x:c>
      <x:c r="N75" s="22" t="n">
        <x:f>IF(J75&gt;0,J75*$H$2,K75*$J$2)</x:f>
        <x:v>3.4797</x:v>
      </x:c>
      <x:c r="O75" s="22" t="n">
        <x:f>MAX(K75*$L$2,$N$2)</x:f>
        <x:v>13.048874999999999</x:v>
      </x:c>
      <x:c r="P75" s="22" t="n">
        <x:f>K75-L75-H75-I75-M75-N75-O75</x:f>
        <x:v>19.502547856635797</x:v>
      </x:c>
      <x:c r="Q75" s="29" t="n">
        <x:f>IF(K75&gt;0,P75/K75,0)</x:f>
        <x:v>0.22418654316907546</x:v>
      </x:c>
      <x:c r="R75" s="32" t="n">
        <x:f>ROUND(P75*F75,2)</x:f>
        <x:v>0</x:v>
      </x:c>
    </x:row>
    <x:row r="76">
      <x:c r="A76" s="19" t="str">
        <x:v>B0C9ZZTYBS</x:v>
      </x:c>
      <x:c r="B76" s="19" t="str">
        <x:v>PD17-aquablue&amp;white-5x8</x:v>
      </x:c>
      <x:c r="C76" s="22" t="n">
        <x:v>39.99</x:v>
      </x:c>
      <x:c r="D76" s="22" t="str">
        <x:v>价格折扣</x:v>
      </x:c>
      <x:c r="E76" s="22" t="n">
        <x:v>0.15</x:v>
      </x:c>
      <x:c r="F76" s="25" t="n">
        <x:v>2</x:v>
      </x:c>
      <x:c r="G76" s="22" t="n">
        <x:v>50</x:v>
      </x:c>
      <x:c r="H76" s="22" t="n">
        <x:v>2.3</x:v>
      </x:c>
      <x:c r="I76" s="22" t="n">
        <x:v>8.737796706421872</x:v>
      </x:c>
      <x:c r="J76" s="22" t="n">
        <x:v>0</x:v>
      </x:c>
      <x:c r="K76" s="22" t="n">
        <x:f>IF(D76="原价调整",E76,IF(OR(E76="",E76=0),C76,C76*(1-E76)))</x:f>
        <x:v>33.9915</x:v>
      </x:c>
      <x:c r="L76" s="22" t="n">
        <x:f>IFERROR(G76/$B$2,0)</x:f>
        <x:v>7.352941176470589</x:v>
      </x:c>
      <x:c r="M76" s="22" t="n">
        <x:f>L76*$D$2*$F$2</x:f>
        <x:v>0.349264705882353</x:v>
      </x:c>
      <x:c r="N76" s="22" t="n">
        <x:f>IF(J76&gt;0,J76*$H$2,K76*$J$2)</x:f>
        <x:v>1.35966</x:v>
      </x:c>
      <x:c r="O76" s="22" t="n">
        <x:f>MAX(K76*$L$2,$N$2)</x:f>
        <x:v>5.098725</x:v>
      </x:c>
      <x:c r="P76" s="22" t="n">
        <x:f>K76-L76-H76-I76-M76-N76-O76</x:f>
        <x:v>8.79311241122519</x:v>
      </x:c>
      <x:c r="Q76" s="29" t="n">
        <x:f>IF(K76&gt;0,P76/K76,0)</x:f>
        <x:v>0.25868562467749845</x:v>
      </x:c>
      <x:c r="R76" s="32" t="n">
        <x:f>ROUND(P76*F76,2)</x:f>
        <x:v>17.59</x:v>
      </x:c>
    </x:row>
    <x:row r="77">
      <x:c r="A77" s="19" t="str">
        <x:v>B0CLRXLGWN</x:v>
      </x:c>
      <x:c r="B77" s="19" t="str">
        <x:v>PD17-aquablue&amp;white-6x9</x:v>
      </x:c>
      <x:c r="C77" s="22" t="n">
        <x:v>49.99</x:v>
      </x:c>
      <x:c r="D77" s="22" t="str">
        <x:v>价格折扣</x:v>
      </x:c>
      <x:c r="E77" s="22" t="n">
        <x:v>0.3</x:v>
      </x:c>
      <x:c r="F77" s="25" t="n">
        <x:v>6</x:v>
      </x:c>
      <x:c r="G77" s="22" t="n">
        <x:v>62.5</x:v>
      </x:c>
      <x:c r="H77" s="22" t="n">
        <x:v>3.66</x:v>
      </x:c>
      <x:c r="I77" s="22" t="n">
        <x:v>10.285513500859857</x:v>
      </x:c>
      <x:c r="J77" s="22" t="n">
        <x:v>0</x:v>
      </x:c>
      <x:c r="K77" s="22" t="n">
        <x:f>IF(D77="原价调整",E77,IF(OR(E77="",E77=0),C77,C77*(1-E77)))</x:f>
        <x:v>34.993</x:v>
      </x:c>
      <x:c r="L77" s="22" t="n">
        <x:f>IFERROR(G77/$B$2,0)</x:f>
        <x:v>9.191176470588236</x:v>
      </x:c>
      <x:c r="M77" s="22" t="n">
        <x:f>L77*$D$2*$F$2</x:f>
        <x:v>0.4365808823529412</x:v>
      </x:c>
      <x:c r="N77" s="22" t="n">
        <x:f>IF(J77&gt;0,J77*$H$2,K77*$J$2)</x:f>
        <x:v>1.39972</x:v>
      </x:c>
      <x:c r="O77" s="22" t="n">
        <x:f>MAX(K77*$L$2,$N$2)</x:f>
        <x:v>5.24895</x:v>
      </x:c>
      <x:c r="P77" s="22" t="n">
        <x:f>K77-L77-H77-I77-M77-N77-O77</x:f>
        <x:v>4.771059146198968</x:v>
      </x:c>
      <x:c r="Q77" s="29" t="n">
        <x:f>IF(K77&gt;0,P77/K77,0)</x:f>
        <x:v>0.1363432442545357</x:v>
      </x:c>
      <x:c r="R77" s="32" t="n">
        <x:f>ROUND(P77*F77,2)</x:f>
        <x:v>28.63</x:v>
      </x:c>
    </x:row>
    <x:row r="78">
      <x:c r="A78" s="19" t="str">
        <x:v>B0D414YGVH</x:v>
      </x:c>
      <x:c r="B78" s="19" t="str">
        <x:v>PD17-aquablue&amp;white-8x10</x:v>
      </x:c>
      <x:c r="C78" s="22" t="n">
        <x:v>79.99</x:v>
      </x:c>
      <x:c r="D78" s="22" t="str">
        <x:v>价格折扣</x:v>
      </x:c>
      <x:c r="E78" s="22" t="n">
        <x:v>0.35</x:v>
      </x:c>
      <x:c r="F78" s="25" t="n">
        <x:v>3</x:v>
      </x:c>
      <x:c r="G78" s="22" t="n">
        <x:v>89</x:v>
      </x:c>
      <x:c r="H78" s="22" t="n">
        <x:v>5.4</x:v>
      </x:c>
      <x:c r="I78" s="22" t="n">
        <x:v>12.194666387117124</x:v>
      </x:c>
      <x:c r="J78" s="22" t="n">
        <x:v>0</x:v>
      </x:c>
      <x:c r="K78" s="22" t="n">
        <x:f>IF(D78="原价调整",E78,IF(OR(E78="",E78=0),C78,C78*(1-E78)))</x:f>
        <x:v>51.9935</x:v>
      </x:c>
      <x:c r="L78" s="22" t="n">
        <x:f>IFERROR(G78/$B$2,0)</x:f>
        <x:v>13.088235294117647</x:v>
      </x:c>
      <x:c r="M78" s="22" t="n">
        <x:f>L78*$D$2*$F$2</x:f>
        <x:v>0.6216911764705882</x:v>
      </x:c>
      <x:c r="N78" s="22" t="n">
        <x:f>IF(J78&gt;0,J78*$H$2,K78*$J$2)</x:f>
        <x:v>2.07974</x:v>
      </x:c>
      <x:c r="O78" s="22" t="n">
        <x:f>MAX(K78*$L$2,$N$2)</x:f>
        <x:v>7.799024999999999</x:v>
      </x:c>
      <x:c r="P78" s="22" t="n">
        <x:f>K78-L78-H78-I78-M78-N78-O78</x:f>
        <x:v>10.81014214229464</x:v>
      </x:c>
      <x:c r="Q78" s="29" t="n">
        <x:f>IF(K78&gt;0,P78/K78,0)</x:f>
        <x:v>0.20791333805753875</x:v>
      </x:c>
      <x:c r="R78" s="32" t="n">
        <x:f>ROUND(P78*F78,2)</x:f>
        <x:v>32.43</x:v>
      </x:c>
    </x:row>
    <x:row r="79">
      <x:c r="A79" s="19" t="str">
        <x:v>B0D41584P3</x:v>
      </x:c>
      <x:c r="B79" s="19" t="str">
        <x:v>PD17-aquablue&amp;white-9x12</x:v>
      </x:c>
      <x:c r="C79" s="22" t="n">
        <x:v>89.99</x:v>
      </x:c>
      <x:c r="D79" s="22" t="str">
        <x:v>价格折扣</x:v>
      </x:c>
      <x:c r="E79" s="22" t="n">
        <x:v>0.2</x:v>
      </x:c>
      <x:c r="F79" s="25" t="n">
        <x:v>3</x:v>
      </x:c>
      <x:c r="G79" s="22" t="n">
        <x:v>109</x:v>
      </x:c>
      <x:c r="H79" s="22" t="n">
        <x:v>7.22</x:v>
      </x:c>
      <x:c r="I79" s="22" t="n">
        <x:v>19.412041751500432</x:v>
      </x:c>
      <x:c r="J79" s="22" t="n">
        <x:v>0</x:v>
      </x:c>
      <x:c r="K79" s="22" t="n">
        <x:f>IF(D79="原价调整",E79,IF(OR(E79="",E79=0),C79,C79*(1-E79)))</x:f>
        <x:v>71.992</x:v>
      </x:c>
      <x:c r="L79" s="22" t="n">
        <x:f>IFERROR(G79/$B$2,0)</x:f>
        <x:v>16.029411764705884</x:v>
      </x:c>
      <x:c r="M79" s="22" t="n">
        <x:f>L79*$D$2*$F$2</x:f>
        <x:v>0.7613970588235295</x:v>
      </x:c>
      <x:c r="N79" s="22" t="n">
        <x:f>IF(J79&gt;0,J79*$H$2,K79*$J$2)</x:f>
        <x:v>2.87968</x:v>
      </x:c>
      <x:c r="O79" s="22" t="n">
        <x:f>MAX(K79*$L$2,$N$2)</x:f>
        <x:v>10.7988</x:v>
      </x:c>
      <x:c r="P79" s="22" t="n">
        <x:f>K79-L79-H79-I79-M79-N79-O79</x:f>
        <x:v>14.89066942497016</x:v>
      </x:c>
      <x:c r="Q79" s="29" t="n">
        <x:f>IF(K79&gt;0,P79/K79,0)</x:f>
        <x:v>0.206837835106264</x:v>
      </x:c>
      <x:c r="R79" s="32" t="n">
        <x:f>ROUND(P79*F79,2)</x:f>
        <x:v>44.67</x:v>
      </x:c>
    </x:row>
    <x:row r="80">
      <x:c r="A80" s="19" t="str">
        <x:v>B0DFHHMWB8</x:v>
      </x:c>
      <x:c r="B80" s="19" t="str">
        <x:v>PD17-aquablue&amp;white-10x14</x:v>
      </x:c>
      <x:c r="C80" s="22" t="n">
        <x:v>115.99</x:v>
      </x:c>
      <x:c r="D80" s="22" t="str">
        <x:v>价格折扣</x:v>
      </x:c>
      <x:c r="E80" s="22" t="n">
        <x:v>0.3</x:v>
      </x:c>
      <x:c r="F80" s="25" t="n">
        <x:v>2</x:v>
      </x:c>
      <x:c r="G80" s="22" t="n">
        <x:v>139</x:v>
      </x:c>
      <x:c r="H80" s="22" t="n">
        <x:v>8.14</x:v>
      </x:c>
      <x:c r="I80" s="22" t="n">
        <x:v>21.409244790423024</x:v>
      </x:c>
      <x:c r="J80" s="22" t="n">
        <x:v>0</x:v>
      </x:c>
      <x:c r="K80" s="22" t="n">
        <x:f>IF(D80="原价调整",E80,IF(OR(E80="",E80=0),C80,C80*(1-E80)))</x:f>
        <x:v>81.193</x:v>
      </x:c>
      <x:c r="L80" s="22" t="n">
        <x:f>IFERROR(G80/$B$2,0)</x:f>
        <x:v>20.441176470588236</x:v>
      </x:c>
      <x:c r="M80" s="22" t="n">
        <x:f>L80*$D$2*$F$2</x:f>
        <x:v>0.9709558823529412</x:v>
      </x:c>
      <x:c r="N80" s="22" t="n">
        <x:f>IF(J80&gt;0,J80*$H$2,K80*$J$2)</x:f>
        <x:v>3.24772</x:v>
      </x:c>
      <x:c r="O80" s="22" t="n">
        <x:f>MAX(K80*$L$2,$N$2)</x:f>
        <x:v>12.178949999999999</x:v>
      </x:c>
      <x:c r="P80" s="22" t="n">
        <x:f>K80-L80-H80-I80-M80-N80-O80</x:f>
        <x:v>14.804952856635799</x:v>
      </x:c>
      <x:c r="Q80" s="29" t="n">
        <x:f>IF(K80&gt;0,P80/K80,0)</x:f>
        <x:v>0.18234272482400946</x:v>
      </x:c>
      <x:c r="R80" s="32" t="n">
        <x:f>ROUND(P80*F80,2)</x:f>
        <x:v>29.61</x:v>
      </x:c>
    </x:row>
    <x:row r="81">
      <x:c r="A81" s="19" t="str">
        <x:v>B0BYYQ6TPL</x:v>
      </x:c>
      <x:c r="B81" s="19" t="str">
        <x:v>PD17-brown&amp;beige-5x8</x:v>
      </x:c>
      <x:c r="C81" s="22" t="n">
        <x:v>39.99</x:v>
      </x:c>
      <x:c r="D81" s="22" t="str">
        <x:v>价格折扣</x:v>
      </x:c>
      <x:c r="E81" s="22" t="n">
        <x:v>0.2</x:v>
      </x:c>
      <x:c r="F81" s="25" t="n">
        <x:v>5</x:v>
      </x:c>
      <x:c r="G81" s="22" t="n">
        <x:v>50</x:v>
      </x:c>
      <x:c r="H81" s="22" t="n">
        <x:v>2.3</x:v>
      </x:c>
      <x:c r="I81" s="22" t="n">
        <x:v>8.737796706421872</x:v>
      </x:c>
      <x:c r="J81" s="22" t="n">
        <x:v>0</x:v>
      </x:c>
      <x:c r="K81" s="22" t="n">
        <x:f>IF(D81="原价调整",E81,IF(OR(E81="",E81=0),C81,C81*(1-E81)))</x:f>
        <x:v>31.992000000000004</x:v>
      </x:c>
      <x:c r="L81" s="22" t="n">
        <x:f>IFERROR(G81/$B$2,0)</x:f>
        <x:v>7.352941176470589</x:v>
      </x:c>
      <x:c r="M81" s="22" t="n">
        <x:f>L81*$D$2*$F$2</x:f>
        <x:v>0.349264705882353</x:v>
      </x:c>
      <x:c r="N81" s="22" t="n">
        <x:f>IF(J81&gt;0,J81*$H$2,K81*$J$2)</x:f>
        <x:v>1.2796800000000002</x:v>
      </x:c>
      <x:c r="O81" s="22" t="n">
        <x:f>MAX(K81*$L$2,$N$2)</x:f>
        <x:v>4.798800000000001</x:v>
      </x:c>
      <x:c r="P81" s="22" t="n">
        <x:f>K81-L81-H81-I81-M81-N81-O81</x:f>
        <x:v>7.17351741122519</x:v>
      </x:c>
      <x:c r="Q81" s="29" t="n">
        <x:f>IF(K81&gt;0,P81/K81,0)</x:f>
        <x:v>0.22422847621984213</x:v>
      </x:c>
      <x:c r="R81" s="32" t="n">
        <x:f>ROUND(P81*F81,2)</x:f>
        <x:v>35.87</x:v>
      </x:c>
    </x:row>
    <x:row r="82">
      <x:c r="A82" s="19" t="str">
        <x:v>B0CLRWL8MF</x:v>
      </x:c>
      <x:c r="B82" s="19" t="str">
        <x:v>PD17-brown&amp;beige-6x9</x:v>
      </x:c>
      <x:c r="C82" s="22" t="n">
        <x:v>49.99</x:v>
      </x:c>
      <x:c r="D82" s="22" t="str">
        <x:v>价格折扣</x:v>
      </x:c>
      <x:c r="E82" s="22" t="n">
        <x:v>0.3</x:v>
      </x:c>
      <x:c r="F82" s="25" t="n">
        <x:v>8</x:v>
      </x:c>
      <x:c r="G82" s="22" t="n">
        <x:v>62.5</x:v>
      </x:c>
      <x:c r="H82" s="22" t="n">
        <x:v>3.66</x:v>
      </x:c>
      <x:c r="I82" s="22" t="n">
        <x:v>10.285513500859857</x:v>
      </x:c>
      <x:c r="J82" s="22" t="n">
        <x:v>0</x:v>
      </x:c>
      <x:c r="K82" s="22" t="n">
        <x:f>IF(D82="原价调整",E82,IF(OR(E82="",E82=0),C82,C82*(1-E82)))</x:f>
        <x:v>34.993</x:v>
      </x:c>
      <x:c r="L82" s="22" t="n">
        <x:f>IFERROR(G82/$B$2,0)</x:f>
        <x:v>9.191176470588236</x:v>
      </x:c>
      <x:c r="M82" s="22" t="n">
        <x:f>L82*$D$2*$F$2</x:f>
        <x:v>0.4365808823529412</x:v>
      </x:c>
      <x:c r="N82" s="22" t="n">
        <x:f>IF(J82&gt;0,J82*$H$2,K82*$J$2)</x:f>
        <x:v>1.39972</x:v>
      </x:c>
      <x:c r="O82" s="22" t="n">
        <x:f>MAX(K82*$L$2,$N$2)</x:f>
        <x:v>5.24895</x:v>
      </x:c>
      <x:c r="P82" s="22" t="n">
        <x:f>K82-L82-H82-I82-M82-N82-O82</x:f>
        <x:v>4.771059146198968</x:v>
      </x:c>
      <x:c r="Q82" s="29" t="n">
        <x:f>IF(K82&gt;0,P82/K82,0)</x:f>
        <x:v>0.1363432442545357</x:v>
      </x:c>
      <x:c r="R82" s="32" t="n">
        <x:f>ROUND(P82*F82,2)</x:f>
        <x:v>38.17</x:v>
      </x:c>
    </x:row>
    <x:row r="83">
      <x:c r="A83" s="19" t="str">
        <x:v>B0D414DNW5</x:v>
      </x:c>
      <x:c r="B83" s="19" t="str">
        <x:v>PD17-brown&amp;beige-8x10</x:v>
      </x:c>
      <x:c r="C83" s="22" t="n">
        <x:v>79.99</x:v>
      </x:c>
      <x:c r="D83" s="22" t="str">
        <x:v>价格折扣</x:v>
      </x:c>
      <x:c r="E83" s="22" t="n">
        <x:v>0.3</x:v>
      </x:c>
      <x:c r="F83" s="25" t="n">
        <x:v>6</x:v>
      </x:c>
      <x:c r="G83" s="22" t="n">
        <x:v>89</x:v>
      </x:c>
      <x:c r="H83" s="22" t="n">
        <x:v>5.4</x:v>
      </x:c>
      <x:c r="I83" s="22" t="n">
        <x:v>12.194666387117124</x:v>
      </x:c>
      <x:c r="J83" s="22" t="n">
        <x:v>0</x:v>
      </x:c>
      <x:c r="K83" s="22" t="n">
        <x:f>IF(D83="原价调整",E83,IF(OR(E83="",E83=0),C83,C83*(1-E83)))</x:f>
        <x:v>55.992999999999995</x:v>
      </x:c>
      <x:c r="L83" s="22" t="n">
        <x:f>IFERROR(G83/$B$2,0)</x:f>
        <x:v>13.088235294117647</x:v>
      </x:c>
      <x:c r="M83" s="22" t="n">
        <x:f>L83*$D$2*$F$2</x:f>
        <x:v>0.6216911764705882</x:v>
      </x:c>
      <x:c r="N83" s="22" t="n">
        <x:f>IF(J83&gt;0,J83*$H$2,K83*$J$2)</x:f>
        <x:v>2.2397199999999997</x:v>
      </x:c>
      <x:c r="O83" s="22" t="n">
        <x:f>MAX(K83*$L$2,$N$2)</x:f>
        <x:v>8.39895</x:v>
      </x:c>
      <x:c r="P83" s="22" t="n">
        <x:f>K83-L83-H83-I83-M83-N83-O83</x:f>
        <x:v>14.049737142294642</x:v>
      </x:c>
      <x:c r="Q83" s="29" t="n">
        <x:f>IF(K83&gt;0,P83/K83,0)</x:f>
        <x:v>0.25091952819628605</x:v>
      </x:c>
      <x:c r="R83" s="32" t="n">
        <x:f>ROUND(P83*F83,2)</x:f>
        <x:v>84.3</x:v>
      </x:c>
    </x:row>
    <x:row r="84">
      <x:c r="A84" s="19" t="str">
        <x:v>B0D41577GC</x:v>
      </x:c>
      <x:c r="B84" s="19" t="str">
        <x:v>PD17-brown&amp;beige-9x12</x:v>
      </x:c>
      <x:c r="C84" s="22" t="n">
        <x:v>89.99</x:v>
      </x:c>
      <x:c r="D84" s="22" t="str">
        <x:v>价格折扣</x:v>
      </x:c>
      <x:c r="E84" s="22" t="n">
        <x:v>0.25</x:v>
      </x:c>
      <x:c r="F84" s="25" t="n">
        <x:v>3</x:v>
      </x:c>
      <x:c r="G84" s="22" t="n">
        <x:v>109</x:v>
      </x:c>
      <x:c r="H84" s="22" t="n">
        <x:v>7.22</x:v>
      </x:c>
      <x:c r="I84" s="22" t="n">
        <x:v>19.412041751500432</x:v>
      </x:c>
      <x:c r="J84" s="22" t="n">
        <x:v>0</x:v>
      </x:c>
      <x:c r="K84" s="22" t="n">
        <x:f>IF(D84="原价调整",E84,IF(OR(E84="",E84=0),C84,C84*(1-E84)))</x:f>
        <x:v>67.49249999999999</x:v>
      </x:c>
      <x:c r="L84" s="22" t="n">
        <x:f>IFERROR(G84/$B$2,0)</x:f>
        <x:v>16.029411764705884</x:v>
      </x:c>
      <x:c r="M84" s="22" t="n">
        <x:f>L84*$D$2*$F$2</x:f>
        <x:v>0.7613970588235295</x:v>
      </x:c>
      <x:c r="N84" s="22" t="n">
        <x:f>IF(J84&gt;0,J84*$H$2,K84*$J$2)</x:f>
        <x:v>2.6996999999999995</x:v>
      </x:c>
      <x:c r="O84" s="22" t="n">
        <x:f>MAX(K84*$L$2,$N$2)</x:f>
        <x:v>10.123874999999998</x:v>
      </x:c>
      <x:c r="P84" s="22" t="n">
        <x:f>K84-L84-H84-I84-M84-N84-O84</x:f>
        <x:v>11.24607442497015</x:v>
      </x:c>
      <x:c r="Q84" s="29" t="n">
        <x:f>IF(K84&gt;0,P84/K84,0)</x:f>
        <x:v>0.16662702411334818</x:v>
      </x:c>
      <x:c r="R84" s="32" t="n">
        <x:f>ROUND(P84*F84,2)</x:f>
        <x:v>33.74</x:v>
      </x:c>
    </x:row>
    <x:row r="85">
      <x:c r="A85" s="19" t="str">
        <x:v>B0DFHJLN7V</x:v>
      </x:c>
      <x:c r="B85" s="19" t="str">
        <x:v>PD17-brown&amp;beige-10x14</x:v>
      </x:c>
      <x:c r="C85" s="22" t="n">
        <x:v>115.99</x:v>
      </x:c>
      <x:c r="D85" s="22" t="str">
        <x:v>价格折扣</x:v>
      </x:c>
      <x:c r="E85" s="22" t="n">
        <x:v>0.2</x:v>
      </x:c>
      <x:c r="F85" s="25" t="n">
        <x:v>4</x:v>
      </x:c>
      <x:c r="G85" s="22" t="n">
        <x:v>139</x:v>
      </x:c>
      <x:c r="H85" s="22" t="n">
        <x:v>8.14</x:v>
      </x:c>
      <x:c r="I85" s="22" t="n">
        <x:v>21.409244790423024</x:v>
      </x:c>
      <x:c r="J85" s="22" t="n">
        <x:v>0</x:v>
      </x:c>
      <x:c r="K85" s="22" t="n">
        <x:f>IF(D85="原价调整",E85,IF(OR(E85="",E85=0),C85,C85*(1-E85)))</x:f>
        <x:v>92.792</x:v>
      </x:c>
      <x:c r="L85" s="22" t="n">
        <x:f>IFERROR(G85/$B$2,0)</x:f>
        <x:v>20.441176470588236</x:v>
      </x:c>
      <x:c r="M85" s="22" t="n">
        <x:f>L85*$D$2*$F$2</x:f>
        <x:v>0.9709558823529412</x:v>
      </x:c>
      <x:c r="N85" s="22" t="n">
        <x:f>IF(J85&gt;0,J85*$H$2,K85*$J$2)</x:f>
        <x:v>3.7116800000000003</x:v>
      </x:c>
      <x:c r="O85" s="22" t="n">
        <x:f>MAX(K85*$L$2,$N$2)</x:f>
        <x:v>13.9188</x:v>
      </x:c>
      <x:c r="P85" s="22" t="n">
        <x:f>K85-L85-H85-I85-M85-N85-O85</x:f>
        <x:v>24.200142856635807</x:v>
      </x:c>
      <x:c r="Q85" s="29" t="n">
        <x:f>IF(K85&gt;0,P85/K85,0)</x:f>
        <x:v>0.26079988422100836</x:v>
      </x:c>
      <x:c r="R85" s="32" t="n">
        <x:f>ROUND(P85*F85,2)</x:f>
        <x:v>96.8</x:v>
      </x:c>
    </x:row>
    <x:row r="86">
      <x:c r="A86" s="19" t="str">
        <x:v>B0DFHHQR4D</x:v>
      </x:c>
      <x:c r="B86" s="19" t="str">
        <x:v>PD17-coffee&amp;beige-2.5x8</x:v>
      </x:c>
      <x:c r="C86" s="22" t="n">
        <x:v>31.99</x:v>
      </x:c>
      <x:c r="D86" s="22" t="str"/>
      <x:c r="E86" s="22"/>
      <x:c r="F86" s="25" t="n">
        <x:v>1</x:v>
      </x:c>
      <x:c r="G86" s="22" t="n">
        <x:v>34.05</x:v>
      </x:c>
      <x:c r="H86" s="22" t="n">
        <x:v>1.47</x:v>
      </x:c>
      <x:c r="I86" s="22" t="n">
        <x:v>7.688802701702446</x:v>
      </x:c>
      <x:c r="J86" s="22" t="n">
        <x:v>0</x:v>
      </x:c>
      <x:c r="K86" s="22" t="n">
        <x:f>IF(D86="原价调整",E86,IF(OR(E86="",E86=0),C86,C86*(1-E86)))</x:f>
        <x:v>31.99</x:v>
      </x:c>
      <x:c r="L86" s="22" t="n">
        <x:f>IFERROR(G86/$B$2,0)</x:f>
        <x:v>5.00735294117647</x:v>
      </x:c>
      <x:c r="M86" s="22" t="n">
        <x:f>L86*$D$2*$F$2</x:f>
        <x:v>0.23784926470588233</x:v>
      </x:c>
      <x:c r="N86" s="22" t="n">
        <x:f>IF(J86&gt;0,J86*$H$2,K86*$J$2)</x:f>
        <x:v>1.2796</x:v>
      </x:c>
      <x:c r="O86" s="22" t="n">
        <x:f>MAX(K86*$L$2,$N$2)</x:f>
        <x:v>4.7985</x:v>
      </x:c>
      <x:c r="P86" s="22" t="n">
        <x:f>K86-L86-H86-I86-M86-N86-O86</x:f>
        <x:v>11.5078950924152</x:v>
      </x:c>
      <x:c r="Q86" s="29" t="n">
        <x:f>IF(K86&gt;0,P86/K86,0)</x:f>
        <x:v>0.35973413855627384</x:v>
      </x:c>
      <x:c r="R86" s="32" t="n">
        <x:f>ROUND(P86*F86,2)</x:f>
        <x:v>11.51</x:v>
      </x:c>
    </x:row>
    <x:row r="87">
      <x:c r="A87" s="19" t="str">
        <x:v>B0DFHG8RFB</x:v>
      </x:c>
      <x:c r="B87" s="19" t="str">
        <x:v>PD17-coffee&amp;beige-3x5</x:v>
      </x:c>
      <x:c r="C87" s="22" t="n">
        <x:v>26.99</x:v>
      </x:c>
      <x:c r="D87" s="22" t="str"/>
      <x:c r="E87" s="22"/>
      <x:c r="F87" s="25" t="n">
        <x:v>7</x:v>
      </x:c>
      <x:c r="G87" s="22" t="n">
        <x:v>28</x:v>
      </x:c>
      <x:c r="H87" s="22" t="n">
        <x:v>0.98</x:v>
      </x:c>
      <x:c r="I87" s="22" t="n">
        <x:v>7.136987449222446</x:v>
      </x:c>
      <x:c r="J87" s="22" t="n">
        <x:v>0</x:v>
      </x:c>
      <x:c r="K87" s="22" t="n">
        <x:f>IF(D87="原价调整",E87,IF(OR(E87="",E87=0),C87,C87*(1-E87)))</x:f>
        <x:v>26.99</x:v>
      </x:c>
      <x:c r="L87" s="22" t="n">
        <x:f>IFERROR(G87/$B$2,0)</x:f>
        <x:v>4.11764705882353</x:v>
      </x:c>
      <x:c r="M87" s="22" t="n">
        <x:f>L87*$D$2*$F$2</x:f>
        <x:v>0.19558823529411767</x:v>
      </x:c>
      <x:c r="N87" s="22" t="n">
        <x:f>IF(J87&gt;0,J87*$H$2,K87*$J$2)</x:f>
        <x:v>1.0796</x:v>
      </x:c>
      <x:c r="O87" s="22" t="n">
        <x:f>MAX(K87*$L$2,$N$2)</x:f>
        <x:v>4.0485</x:v>
      </x:c>
      <x:c r="P87" s="22" t="n">
        <x:f>K87-L87-H87-I87-M87-N87-O87</x:f>
        <x:v>9.431677256659906</x:v>
      </x:c>
      <x:c r="Q87" s="29" t="n">
        <x:f>IF(K87&gt;0,P87/K87,0)</x:f>
        <x:v>0.3494508061007746</x:v>
      </x:c>
      <x:c r="R87" s="32" t="n">
        <x:f>ROUND(P87*F87,2)</x:f>
        <x:v>66.02</x:v>
      </x:c>
    </x:row>
    <x:row r="88">
      <x:c r="A88" s="19" t="str">
        <x:v>B0DFHHMWKD</x:v>
      </x:c>
      <x:c r="B88" s="19" t="str">
        <x:v>PD17-coffee&amp;beige-4x6</x:v>
      </x:c>
      <x:c r="C88" s="22" t="n">
        <x:v>29.99</x:v>
      </x:c>
      <x:c r="D88" s="22" t="str"/>
      <x:c r="E88" s="22"/>
      <x:c r="F88" s="25" t="n">
        <x:v>5</x:v>
      </x:c>
      <x:c r="G88" s="22" t="n">
        <x:v>35</x:v>
      </x:c>
      <x:c r="H88" s="22" t="n">
        <x:v>1.34</x:v>
      </x:c>
      <x:c r="I88" s="22" t="n">
        <x:v>7.572854957122302</x:v>
      </x:c>
      <x:c r="J88" s="22" t="n">
        <x:v>0</x:v>
      </x:c>
      <x:c r="K88" s="22" t="n">
        <x:f>IF(D88="原价调整",E88,IF(OR(E88="",E88=0),C88,C88*(1-E88)))</x:f>
        <x:v>29.99</x:v>
      </x:c>
      <x:c r="L88" s="22" t="n">
        <x:f>IFERROR(G88/$B$2,0)</x:f>
        <x:v>5.147058823529412</x:v>
      </x:c>
      <x:c r="M88" s="22" t="n">
        <x:f>L88*$D$2*$F$2</x:f>
        <x:v>0.24448529411764708</x:v>
      </x:c>
      <x:c r="N88" s="22" t="n">
        <x:f>IF(J88&gt;0,J88*$H$2,K88*$J$2)</x:f>
        <x:v>1.1996</x:v>
      </x:c>
      <x:c r="O88" s="22" t="n">
        <x:f>MAX(K88*$L$2,$N$2)</x:f>
        <x:v>4.4985</x:v>
      </x:c>
      <x:c r="P88" s="22" t="n">
        <x:f>K88-L88-H88-I88-M88-N88-O88</x:f>
        <x:v>9.987500925230636</x:v>
      </x:c>
      <x:c r="Q88" s="29" t="n">
        <x:f>IF(K88&gt;0,P88/K88,0)</x:f>
        <x:v>0.333027706743269</x:v>
      </x:c>
      <x:c r="R88" s="32" t="n">
        <x:f>ROUND(P88*F88,2)</x:f>
        <x:v>49.94</x:v>
      </x:c>
    </x:row>
    <x:row r="89">
      <x:c r="A89" s="19" t="str">
        <x:v>B0CLRX6NPG</x:v>
      </x:c>
      <x:c r="B89" s="19" t="str">
        <x:v>PD17-coffee&amp;beige-5x8</x:v>
      </x:c>
      <x:c r="C89" s="22" t="n">
        <x:v>39.99</x:v>
      </x:c>
      <x:c r="D89" s="22" t="str">
        <x:v>价格折扣</x:v>
      </x:c>
      <x:c r="E89" s="22" t="n">
        <x:v>0.25</x:v>
      </x:c>
      <x:c r="F89" s="25" t="n">
        <x:v>22</x:v>
      </x:c>
      <x:c r="G89" s="22" t="n">
        <x:v>50</x:v>
      </x:c>
      <x:c r="H89" s="22" t="n">
        <x:v>2.3</x:v>
      </x:c>
      <x:c r="I89" s="22" t="n">
        <x:v>8.737796706421872</x:v>
      </x:c>
      <x:c r="J89" s="22" t="n">
        <x:v>0</x:v>
      </x:c>
      <x:c r="K89" s="22" t="n">
        <x:f>IF(D89="原价调整",E89,IF(OR(E89="",E89=0),C89,C89*(1-E89)))</x:f>
        <x:v>29.9925</x:v>
      </x:c>
      <x:c r="L89" s="22" t="n">
        <x:f>IFERROR(G89/$B$2,0)</x:f>
        <x:v>7.352941176470589</x:v>
      </x:c>
      <x:c r="M89" s="22" t="n">
        <x:f>L89*$D$2*$F$2</x:f>
        <x:v>0.349264705882353</x:v>
      </x:c>
      <x:c r="N89" s="22" t="n">
        <x:f>IF(J89&gt;0,J89*$H$2,K89*$J$2)</x:f>
        <x:v>1.1997</x:v>
      </x:c>
      <x:c r="O89" s="22" t="n">
        <x:f>MAX(K89*$L$2,$N$2)</x:f>
        <x:v>4.498875</x:v>
      </x:c>
      <x:c r="P89" s="22" t="n">
        <x:f>K89-L89-H89-I89-M89-N89-O89</x:f>
        <x:v>5.553922411225187</x:v>
      </x:c>
      <x:c r="Q89" s="29" t="n">
        <x:f>IF(K89&gt;0,P89/K89,0)</x:f>
        <x:v>0.18517704130116486</x:v>
      </x:c>
      <x:c r="R89" s="32" t="n">
        <x:f>ROUND(P89*F89,2)</x:f>
        <x:v>122.19</x:v>
      </x:c>
    </x:row>
    <x:row r="90">
      <x:c r="A90" s="19" t="str">
        <x:v>B0CLRWJZ23</x:v>
      </x:c>
      <x:c r="B90" s="19" t="str">
        <x:v>PD17-coffee&amp;beige-6x9</x:v>
      </x:c>
      <x:c r="C90" s="22" t="n">
        <x:v>49.99</x:v>
      </x:c>
      <x:c r="D90" s="22" t="str">
        <x:v>价格折扣</x:v>
      </x:c>
      <x:c r="E90" s="22" t="n">
        <x:v>0.3</x:v>
      </x:c>
      <x:c r="F90" s="25" t="n">
        <x:v>10</x:v>
      </x:c>
      <x:c r="G90" s="22" t="n">
        <x:v>62.5</x:v>
      </x:c>
      <x:c r="H90" s="22" t="n">
        <x:v>3.66</x:v>
      </x:c>
      <x:c r="I90" s="22" t="n">
        <x:v>10.285513500859857</x:v>
      </x:c>
      <x:c r="J90" s="22" t="n">
        <x:v>0</x:v>
      </x:c>
      <x:c r="K90" s="22" t="n">
        <x:f>IF(D90="原价调整",E90,IF(OR(E90="",E90=0),C90,C90*(1-E90)))</x:f>
        <x:v>34.993</x:v>
      </x:c>
      <x:c r="L90" s="22" t="n">
        <x:f>IFERROR(G90/$B$2,0)</x:f>
        <x:v>9.191176470588236</x:v>
      </x:c>
      <x:c r="M90" s="22" t="n">
        <x:f>L90*$D$2*$F$2</x:f>
        <x:v>0.4365808823529412</x:v>
      </x:c>
      <x:c r="N90" s="22" t="n">
        <x:f>IF(J90&gt;0,J90*$H$2,K90*$J$2)</x:f>
        <x:v>1.39972</x:v>
      </x:c>
      <x:c r="O90" s="22" t="n">
        <x:f>MAX(K90*$L$2,$N$2)</x:f>
        <x:v>5.24895</x:v>
      </x:c>
      <x:c r="P90" s="22" t="n">
        <x:f>K90-L90-H90-I90-M90-N90-O90</x:f>
        <x:v>4.771059146198968</x:v>
      </x:c>
      <x:c r="Q90" s="29" t="n">
        <x:f>IF(K90&gt;0,P90/K90,0)</x:f>
        <x:v>0.1363432442545357</x:v>
      </x:c>
      <x:c r="R90" s="32" t="n">
        <x:f>ROUND(P90*F90,2)</x:f>
        <x:v>47.71</x:v>
      </x:c>
    </x:row>
    <x:row r="91">
      <x:c r="A91" s="19" t="str">
        <x:v>B0D415M6W2</x:v>
      </x:c>
      <x:c r="B91" s="19" t="str">
        <x:v>PD17-coffee&amp;beige-8x10</x:v>
      </x:c>
      <x:c r="C91" s="22" t="n">
        <x:v>79.99</x:v>
      </x:c>
      <x:c r="D91" s="22" t="str">
        <x:v>价格折扣</x:v>
      </x:c>
      <x:c r="E91" s="22" t="n">
        <x:v>0.25</x:v>
      </x:c>
      <x:c r="F91" s="25" t="n">
        <x:v>8</x:v>
      </x:c>
      <x:c r="G91" s="22" t="n">
        <x:v>89</x:v>
      </x:c>
      <x:c r="H91" s="22" t="n">
        <x:v>5.4</x:v>
      </x:c>
      <x:c r="I91" s="22" t="n">
        <x:v>12.194666387117124</x:v>
      </x:c>
      <x:c r="J91" s="22" t="n">
        <x:v>0</x:v>
      </x:c>
      <x:c r="K91" s="22" t="n">
        <x:f>IF(D91="原价调整",E91,IF(OR(E91="",E91=0),C91,C91*(1-E91)))</x:f>
        <x:v>59.99249999999999</x:v>
      </x:c>
      <x:c r="L91" s="22" t="n">
        <x:f>IFERROR(G91/$B$2,0)</x:f>
        <x:v>13.088235294117647</x:v>
      </x:c>
      <x:c r="M91" s="22" t="n">
        <x:f>L91*$D$2*$F$2</x:f>
        <x:v>0.6216911764705882</x:v>
      </x:c>
      <x:c r="N91" s="22" t="n">
        <x:f>IF(J91&gt;0,J91*$H$2,K91*$J$2)</x:f>
        <x:v>2.3996999999999997</x:v>
      </x:c>
      <x:c r="O91" s="22" t="n">
        <x:f>MAX(K91*$L$2,$N$2)</x:f>
        <x:v>8.998874999999998</x:v>
      </x:c>
      <x:c r="P91" s="22" t="n">
        <x:f>K91-L91-H91-I91-M91-N91-O91</x:f>
        <x:v>17.28933214229464</x:v>
      </x:c>
      <x:c r="Q91" s="29" t="n">
        <x:f>IF(K91&gt;0,P91/K91,0)</x:f>
        <x:v>0.2881915596498669</x:v>
      </x:c>
      <x:c r="R91" s="32" t="n">
        <x:f>ROUND(P91*F91,2)</x:f>
        <x:v>138.31</x:v>
      </x:c>
    </x:row>
    <x:row r="92">
      <x:c r="A92" s="19" t="str">
        <x:v>B0D414G3SC</x:v>
      </x:c>
      <x:c r="B92" s="19" t="str">
        <x:v>PD17-coffee&amp;beige-9x12</x:v>
      </x:c>
      <x:c r="C92" s="22" t="n">
        <x:v>89.99</x:v>
      </x:c>
      <x:c r="D92" s="22" t="str">
        <x:v>价格折扣</x:v>
      </x:c>
      <x:c r="E92" s="22" t="n">
        <x:v>0.25</x:v>
      </x:c>
      <x:c r="F92" s="25" t="n">
        <x:v>7</x:v>
      </x:c>
      <x:c r="G92" s="22" t="n">
        <x:v>109</x:v>
      </x:c>
      <x:c r="H92" s="22" t="n">
        <x:v>7.22</x:v>
      </x:c>
      <x:c r="I92" s="22" t="n">
        <x:v>19.412041751500432</x:v>
      </x:c>
      <x:c r="J92" s="22" t="n">
        <x:v>0</x:v>
      </x:c>
      <x:c r="K92" s="22" t="n">
        <x:f>IF(D92="原价调整",E92,IF(OR(E92="",E92=0),C92,C92*(1-E92)))</x:f>
        <x:v>67.49249999999999</x:v>
      </x:c>
      <x:c r="L92" s="22" t="n">
        <x:f>IFERROR(G92/$B$2,0)</x:f>
        <x:v>16.029411764705884</x:v>
      </x:c>
      <x:c r="M92" s="22" t="n">
        <x:f>L92*$D$2*$F$2</x:f>
        <x:v>0.7613970588235295</x:v>
      </x:c>
      <x:c r="N92" s="22" t="n">
        <x:f>IF(J92&gt;0,J92*$H$2,K92*$J$2)</x:f>
        <x:v>2.6996999999999995</x:v>
      </x:c>
      <x:c r="O92" s="22" t="n">
        <x:f>MAX(K92*$L$2,$N$2)</x:f>
        <x:v>10.123874999999998</x:v>
      </x:c>
      <x:c r="P92" s="22" t="n">
        <x:f>K92-L92-H92-I92-M92-N92-O92</x:f>
        <x:v>11.24607442497015</x:v>
      </x:c>
      <x:c r="Q92" s="29" t="n">
        <x:f>IF(K92&gt;0,P92/K92,0)</x:f>
        <x:v>0.16662702411334818</x:v>
      </x:c>
      <x:c r="R92" s="32" t="n">
        <x:f>ROUND(P92*F92,2)</x:f>
        <x:v>78.72</x:v>
      </x:c>
    </x:row>
    <x:row r="93">
      <x:c r="A93" s="19" t="str">
        <x:v>B0DFHK6L6S</x:v>
      </x:c>
      <x:c r="B93" s="19" t="str">
        <x:v>PD17-coffee&amp;beige-9x18</x:v>
      </x:c>
      <x:c r="C93" s="22" t="n">
        <x:v>119.99</x:v>
      </x:c>
      <x:c r="D93" s="22" t="str">
        <x:v>价格折扣</x:v>
      </x:c>
      <x:c r="E93" s="22" t="n">
        <x:v>0.25</x:v>
      </x:c>
      <x:c r="F93" s="25" t="n">
        <x:v>2</x:v>
      </x:c>
      <x:c r="G93" s="22" t="n">
        <x:v>153</x:v>
      </x:c>
      <x:c r="H93" s="22" t="n">
        <x:v>9.24</x:v>
      </x:c>
      <x:c r="I93" s="22" t="n">
        <x:v>23.074413047544176</x:v>
      </x:c>
      <x:c r="J93" s="22" t="n">
        <x:v>0</x:v>
      </x:c>
      <x:c r="K93" s="22" t="n">
        <x:f>IF(D93="原价调整",E93,IF(OR(E93="",E93=0),C93,C93*(1-E93)))</x:f>
        <x:v>89.99249999999999</x:v>
      </x:c>
      <x:c r="L93" s="22" t="n">
        <x:f>IFERROR(G93/$B$2,0)</x:f>
        <x:v>22.5</x:v>
      </x:c>
      <x:c r="M93" s="22" t="n">
        <x:f>L93*$D$2*$F$2</x:f>
        <x:v>1.06875</x:v>
      </x:c>
      <x:c r="N93" s="22" t="n">
        <x:f>IF(J93&gt;0,J93*$H$2,K93*$J$2)</x:f>
        <x:v>3.5997</x:v>
      </x:c>
      <x:c r="O93" s="22" t="n">
        <x:f>MAX(K93*$L$2,$N$2)</x:f>
        <x:v>13.498874999999998</x:v>
      </x:c>
      <x:c r="P93" s="22" t="n">
        <x:f>K93-L93-H93-I93-M93-N93-O93</x:f>
        <x:v>17.010761952455816</x:v>
      </x:c>
      <x:c r="Q93" s="29" t="n">
        <x:f>IF(K93&gt;0,P93/K93,0)</x:f>
        <x:v>0.1890242181565777</x:v>
      </x:c>
      <x:c r="R93" s="32" t="n">
        <x:f>ROUND(P93*F93,2)</x:f>
        <x:v>34.02</x:v>
      </x:c>
    </x:row>
    <x:row r="94">
      <x:c r="A94" s="19" t="str">
        <x:v>B0DFHL7S49</x:v>
      </x:c>
      <x:c r="B94" s="19" t="str">
        <x:v>PD17-coffee&amp;beige-10x14</x:v>
      </x:c>
      <x:c r="C94" s="22" t="n">
        <x:v>115.99</x:v>
      </x:c>
      <x:c r="D94" s="22" t="str">
        <x:v>价格折扣</x:v>
      </x:c>
      <x:c r="E94" s="22" t="n">
        <x:v>0.15</x:v>
      </x:c>
      <x:c r="F94" s="25" t="n">
        <x:v>5</x:v>
      </x:c>
      <x:c r="G94" s="22" t="n">
        <x:v>139</x:v>
      </x:c>
      <x:c r="H94" s="22" t="n">
        <x:v>8.14</x:v>
      </x:c>
      <x:c r="I94" s="22" t="n">
        <x:v>21.409244790423024</x:v>
      </x:c>
      <x:c r="J94" s="22" t="n">
        <x:v>0</x:v>
      </x:c>
      <x:c r="K94" s="22" t="n">
        <x:f>IF(D94="原价调整",E94,IF(OR(E94="",E94=0),C94,C94*(1-E94)))</x:f>
        <x:v>98.5915</x:v>
      </x:c>
      <x:c r="L94" s="22" t="n">
        <x:f>IFERROR(G94/$B$2,0)</x:f>
        <x:v>20.441176470588236</x:v>
      </x:c>
      <x:c r="M94" s="22" t="n">
        <x:f>L94*$D$2*$F$2</x:f>
        <x:v>0.9709558823529412</x:v>
      </x:c>
      <x:c r="N94" s="22" t="n">
        <x:f>IF(J94&gt;0,J94*$H$2,K94*$J$2)</x:f>
        <x:v>3.94366</x:v>
      </x:c>
      <x:c r="O94" s="22" t="n">
        <x:f>MAX(K94*$L$2,$N$2)</x:f>
        <x:v>14.788725</x:v>
      </x:c>
      <x:c r="P94" s="22" t="n">
        <x:f>K94-L94-H94-I94-M94-N94-O94</x:f>
        <x:v>28.8977378566358</x:v>
      </x:c>
      <x:c r="Q94" s="29" t="n">
        <x:f>IF(K94&gt;0,P94/K94,0)</x:f>
        <x:v>0.2931057733844784</x:v>
      </x:c>
      <x:c r="R94" s="32" t="n">
        <x:f>ROUND(P94*F94,2)</x:f>
        <x:v>144.49</x:v>
      </x:c>
    </x:row>
    <x:row r="95">
      <x:c r="A95" s="19" t="str">
        <x:v>B0D414SQX4</x:v>
      </x:c>
      <x:c r="B95" s="19" t="str">
        <x:v>PD17-navyblue&amp;babyblue-5x8</x:v>
      </x:c>
      <x:c r="C95" s="22" t="n">
        <x:v>39.99</x:v>
      </x:c>
      <x:c r="D95" s="22" t="str">
        <x:v>价格折扣</x:v>
      </x:c>
      <x:c r="E95" s="22" t="n">
        <x:v>0.15</x:v>
      </x:c>
      <x:c r="F95" s="25" t="n">
        <x:v>7</x:v>
      </x:c>
      <x:c r="G95" s="22" t="n">
        <x:v>50</x:v>
      </x:c>
      <x:c r="H95" s="22" t="n">
        <x:v>2.3</x:v>
      </x:c>
      <x:c r="I95" s="22" t="n">
        <x:v>8.737796706421872</x:v>
      </x:c>
      <x:c r="J95" s="22" t="n">
        <x:v>0</x:v>
      </x:c>
      <x:c r="K95" s="22" t="n">
        <x:f>IF(D95="原价调整",E95,IF(OR(E95="",E95=0),C95,C95*(1-E95)))</x:f>
        <x:v>33.9915</x:v>
      </x:c>
      <x:c r="L95" s="22" t="n">
        <x:f>IFERROR(G95/$B$2,0)</x:f>
        <x:v>7.352941176470589</x:v>
      </x:c>
      <x:c r="M95" s="22" t="n">
        <x:f>L95*$D$2*$F$2</x:f>
        <x:v>0.349264705882353</x:v>
      </x:c>
      <x:c r="N95" s="22" t="n">
        <x:f>IF(J95&gt;0,J95*$H$2,K95*$J$2)</x:f>
        <x:v>1.35966</x:v>
      </x:c>
      <x:c r="O95" s="22" t="n">
        <x:f>MAX(K95*$L$2,$N$2)</x:f>
        <x:v>5.098725</x:v>
      </x:c>
      <x:c r="P95" s="22" t="n">
        <x:f>K95-L95-H95-I95-M95-N95-O95</x:f>
        <x:v>8.79311241122519</x:v>
      </x:c>
      <x:c r="Q95" s="29" t="n">
        <x:f>IF(K95&gt;0,P95/K95,0)</x:f>
        <x:v>0.25868562467749845</x:v>
      </x:c>
      <x:c r="R95" s="32" t="n">
        <x:f>ROUND(P95*F95,2)</x:f>
        <x:v>61.55</x:v>
      </x:c>
    </x:row>
    <x:row r="96">
      <x:c r="A96" s="19" t="str">
        <x:v>B0CNJVQ3B5</x:v>
      </x:c>
      <x:c r="B96" s="19" t="str">
        <x:v>PD17-navyblue&amp;babyblue-6x9</x:v>
      </x:c>
      <x:c r="C96" s="22" t="n">
        <x:v>49.99</x:v>
      </x:c>
      <x:c r="D96" s="22" t="str">
        <x:v>价格折扣</x:v>
      </x:c>
      <x:c r="E96" s="22" t="n">
        <x:v>0.3</x:v>
      </x:c>
      <x:c r="F96" s="25" t="n">
        <x:v>9</x:v>
      </x:c>
      <x:c r="G96" s="22" t="n">
        <x:v>62.5</x:v>
      </x:c>
      <x:c r="H96" s="22" t="n">
        <x:v>3.66</x:v>
      </x:c>
      <x:c r="I96" s="22" t="n">
        <x:v>10.285513500859857</x:v>
      </x:c>
      <x:c r="J96" s="22" t="n">
        <x:v>0</x:v>
      </x:c>
      <x:c r="K96" s="22" t="n">
        <x:f>IF(D96="原价调整",E96,IF(OR(E96="",E96=0),C96,C96*(1-E96)))</x:f>
        <x:v>34.993</x:v>
      </x:c>
      <x:c r="L96" s="22" t="n">
        <x:f>IFERROR(G96/$B$2,0)</x:f>
        <x:v>9.191176470588236</x:v>
      </x:c>
      <x:c r="M96" s="22" t="n">
        <x:f>L96*$D$2*$F$2</x:f>
        <x:v>0.4365808823529412</x:v>
      </x:c>
      <x:c r="N96" s="22" t="n">
        <x:f>IF(J96&gt;0,J96*$H$2,K96*$J$2)</x:f>
        <x:v>1.39972</x:v>
      </x:c>
      <x:c r="O96" s="22" t="n">
        <x:f>MAX(K96*$L$2,$N$2)</x:f>
        <x:v>5.24895</x:v>
      </x:c>
      <x:c r="P96" s="22" t="n">
        <x:f>K96-L96-H96-I96-M96-N96-O96</x:f>
        <x:v>4.771059146198968</x:v>
      </x:c>
      <x:c r="Q96" s="29" t="n">
        <x:f>IF(K96&gt;0,P96/K96,0)</x:f>
        <x:v>0.1363432442545357</x:v>
      </x:c>
      <x:c r="R96" s="32" t="n">
        <x:f>ROUND(P96*F96,2)</x:f>
        <x:v>42.94</x:v>
      </x:c>
    </x:row>
    <x:row r="97">
      <x:c r="A97" s="19" t="str">
        <x:v>B0D415L2KR</x:v>
      </x:c>
      <x:c r="B97" s="19" t="str">
        <x:v>PD17-navyblue&amp;babyblue-8x10</x:v>
      </x:c>
      <x:c r="C97" s="22" t="n">
        <x:v>79.99</x:v>
      </x:c>
      <x:c r="D97" s="22" t="str">
        <x:v>价格折扣</x:v>
      </x:c>
      <x:c r="E97" s="22" t="n">
        <x:v>0.2</x:v>
      </x:c>
      <x:c r="F97" s="25" t="n">
        <x:v>11</x:v>
      </x:c>
      <x:c r="G97" s="22" t="n">
        <x:v>89</x:v>
      </x:c>
      <x:c r="H97" s="22" t="n">
        <x:v>5.4</x:v>
      </x:c>
      <x:c r="I97" s="22" t="n">
        <x:v>12.194666387117124</x:v>
      </x:c>
      <x:c r="J97" s="22" t="n">
        <x:v>0</x:v>
      </x:c>
      <x:c r="K97" s="22" t="n">
        <x:f>IF(D97="原价调整",E97,IF(OR(E97="",E97=0),C97,C97*(1-E97)))</x:f>
        <x:v>63.992</x:v>
      </x:c>
      <x:c r="L97" s="22" t="n">
        <x:f>IFERROR(G97/$B$2,0)</x:f>
        <x:v>13.088235294117647</x:v>
      </x:c>
      <x:c r="M97" s="22" t="n">
        <x:f>L97*$D$2*$F$2</x:f>
        <x:v>0.6216911764705882</x:v>
      </x:c>
      <x:c r="N97" s="22" t="n">
        <x:f>IF(J97&gt;0,J97*$H$2,K97*$J$2)</x:f>
        <x:v>2.5596799999999997</x:v>
      </x:c>
      <x:c r="O97" s="22" t="n">
        <x:f>MAX(K97*$L$2,$N$2)</x:f>
        <x:v>9.598799999999999</x:v>
      </x:c>
      <x:c r="P97" s="22" t="n">
        <x:f>K97-L97-H97-I97-M97-N97-O97</x:f>
        <x:v>20.52892714229464</x:v>
      </x:c>
      <x:c r="Q97" s="29" t="n">
        <x:f>IF(K97&gt;0,P97/K97,0)</x:f>
        <x:v>0.32080458717175026</x:v>
      </x:c>
      <x:c r="R97" s="32" t="n">
        <x:f>ROUND(P97*F97,2)</x:f>
        <x:v>225.82</x:v>
      </x:c>
    </x:row>
    <x:row r="98">
      <x:c r="A98" s="19" t="str">
        <x:v>B0D415TGCJ</x:v>
      </x:c>
      <x:c r="B98" s="19" t="str">
        <x:v>PD17-navyblue&amp;babyblue-9x12</x:v>
      </x:c>
      <x:c r="C98" s="22" t="n">
        <x:v>89.99</x:v>
      </x:c>
      <x:c r="D98" s="22" t="str">
        <x:v>价格折扣</x:v>
      </x:c>
      <x:c r="E98" s="22" t="n">
        <x:v>0.2</x:v>
      </x:c>
      <x:c r="F98" s="25" t="n">
        <x:v>9</x:v>
      </x:c>
      <x:c r="G98" s="22" t="n">
        <x:v>109</x:v>
      </x:c>
      <x:c r="H98" s="22" t="n">
        <x:v>7.22</x:v>
      </x:c>
      <x:c r="I98" s="22" t="n">
        <x:v>19.412041751500432</x:v>
      </x:c>
      <x:c r="J98" s="22" t="n">
        <x:v>0</x:v>
      </x:c>
      <x:c r="K98" s="22" t="n">
        <x:f>IF(D98="原价调整",E98,IF(OR(E98="",E98=0),C98,C98*(1-E98)))</x:f>
        <x:v>71.992</x:v>
      </x:c>
      <x:c r="L98" s="22" t="n">
        <x:f>IFERROR(G98/$B$2,0)</x:f>
        <x:v>16.029411764705884</x:v>
      </x:c>
      <x:c r="M98" s="22" t="n">
        <x:f>L98*$D$2*$F$2</x:f>
        <x:v>0.7613970588235295</x:v>
      </x:c>
      <x:c r="N98" s="22" t="n">
        <x:f>IF(J98&gt;0,J98*$H$2,K98*$J$2)</x:f>
        <x:v>2.87968</x:v>
      </x:c>
      <x:c r="O98" s="22" t="n">
        <x:f>MAX(K98*$L$2,$N$2)</x:f>
        <x:v>10.7988</x:v>
      </x:c>
      <x:c r="P98" s="22" t="n">
        <x:f>K98-L98-H98-I98-M98-N98-O98</x:f>
        <x:v>14.89066942497016</x:v>
      </x:c>
      <x:c r="Q98" s="29" t="n">
        <x:f>IF(K98&gt;0,P98/K98,0)</x:f>
        <x:v>0.206837835106264</x:v>
      </x:c>
      <x:c r="R98" s="32" t="n">
        <x:f>ROUND(P98*F98,2)</x:f>
        <x:v>134.02</x:v>
      </x:c>
    </x:row>
    <x:row r="99">
      <x:c r="A99" s="19" t="str">
        <x:v>B0DFHGJ6XZ</x:v>
      </x:c>
      <x:c r="B99" s="19" t="str">
        <x:v>PD17-navyblue&amp;babyblue-10x14</x:v>
      </x:c>
      <x:c r="C99" s="22" t="n">
        <x:v>115.99</x:v>
      </x:c>
      <x:c r="D99" s="22" t="str"/>
      <x:c r="E99" s="22"/>
      <x:c r="F99" s="25" t="n">
        <x:v>3</x:v>
      </x:c>
      <x:c r="G99" s="22" t="n">
        <x:v>139</x:v>
      </x:c>
      <x:c r="H99" s="22" t="n">
        <x:v>8.14</x:v>
      </x:c>
      <x:c r="I99" s="22" t="n">
        <x:v>21.409244790423024</x:v>
      </x:c>
      <x:c r="J99" s="22" t="n">
        <x:v>0</x:v>
      </x:c>
      <x:c r="K99" s="22" t="n">
        <x:f>IF(D99="原价调整",E99,IF(OR(E99="",E99=0),C99,C99*(1-E99)))</x:f>
        <x:v>115.99</x:v>
      </x:c>
      <x:c r="L99" s="22" t="n">
        <x:f>IFERROR(G99/$B$2,0)</x:f>
        <x:v>20.441176470588236</x:v>
      </x:c>
      <x:c r="M99" s="22" t="n">
        <x:f>L99*$D$2*$F$2</x:f>
        <x:v>0.9709558823529412</x:v>
      </x:c>
      <x:c r="N99" s="22" t="n">
        <x:f>IF(J99&gt;0,J99*$H$2,K99*$J$2)</x:f>
        <x:v>4.6396</x:v>
      </x:c>
      <x:c r="O99" s="22" t="n">
        <x:f>MAX(K99*$L$2,$N$2)</x:f>
        <x:v>17.3985</x:v>
      </x:c>
      <x:c r="P99" s="22" t="n">
        <x:f>K99-L99-H99-I99-M99-N99-O99</x:f>
        <x:v>42.99052285663579</x:v>
      </x:c>
      <x:c r="Q99" s="29" t="n">
        <x:f>IF(K99&gt;0,P99/K99,0)</x:f>
        <x:v>0.3706399073768066</x:v>
      </x:c>
      <x:c r="R99" s="32" t="n">
        <x:f>ROUND(P99*F99,2)</x:f>
        <x:v>128.97</x:v>
      </x:c>
    </x:row>
    <x:row r="100">
      <x:c r="A100" s="19" t="str">
        <x:v>B0D4156Z7Y</x:v>
      </x:c>
      <x:c r="B100" s="19" t="str">
        <x:v>PD17-navyblue&amp;jadegreen-5x8</x:v>
      </x:c>
      <x:c r="C100" s="22" t="n">
        <x:v>39.99</x:v>
      </x:c>
      <x:c r="D100" s="22" t="str">
        <x:v>价格折扣</x:v>
      </x:c>
      <x:c r="E100" s="22" t="n">
        <x:v>0.15</x:v>
      </x:c>
      <x:c r="F100" s="25" t="n">
        <x:v>26</x:v>
      </x:c>
      <x:c r="G100" s="22" t="n">
        <x:v>50</x:v>
      </x:c>
      <x:c r="H100" s="22" t="n">
        <x:v>2.3</x:v>
      </x:c>
      <x:c r="I100" s="22" t="n">
        <x:v>8.737796706421872</x:v>
      </x:c>
      <x:c r="J100" s="22" t="n">
        <x:v>0</x:v>
      </x:c>
      <x:c r="K100" s="22" t="n">
        <x:f>IF(D100="原价调整",E100,IF(OR(E100="",E100=0),C100,C100*(1-E100)))</x:f>
        <x:v>33.9915</x:v>
      </x:c>
      <x:c r="L100" s="22" t="n">
        <x:f>IFERROR(G100/$B$2,0)</x:f>
        <x:v>7.352941176470589</x:v>
      </x:c>
      <x:c r="M100" s="22" t="n">
        <x:f>L100*$D$2*$F$2</x:f>
        <x:v>0.349264705882353</x:v>
      </x:c>
      <x:c r="N100" s="22" t="n">
        <x:f>IF(J100&gt;0,J100*$H$2,K100*$J$2)</x:f>
        <x:v>1.35966</x:v>
      </x:c>
      <x:c r="O100" s="22" t="n">
        <x:f>MAX(K100*$L$2,$N$2)</x:f>
        <x:v>5.098725</x:v>
      </x:c>
      <x:c r="P100" s="22" t="n">
        <x:f>K100-L100-H100-I100-M100-N100-O100</x:f>
        <x:v>8.79311241122519</x:v>
      </x:c>
      <x:c r="Q100" s="29" t="n">
        <x:f>IF(K100&gt;0,P100/K100,0)</x:f>
        <x:v>0.25868562467749845</x:v>
      </x:c>
      <x:c r="R100" s="32" t="n">
        <x:f>ROUND(P100*F100,2)</x:f>
        <x:v>228.62</x:v>
      </x:c>
    </x:row>
    <x:row r="101">
      <x:c r="A101" s="19" t="str">
        <x:v>B0CNJM3YNF</x:v>
      </x:c>
      <x:c r="B101" s="19" t="str">
        <x:v>PD17-navyblue&amp;jadegreen-6x9</x:v>
      </x:c>
      <x:c r="C101" s="22" t="n">
        <x:v>49.99</x:v>
      </x:c>
      <x:c r="D101" s="22" t="str">
        <x:v>价格折扣</x:v>
      </x:c>
      <x:c r="E101" s="22" t="n">
        <x:v>0.1</x:v>
      </x:c>
      <x:c r="F101" s="25" t="n">
        <x:v>11</x:v>
      </x:c>
      <x:c r="G101" s="22" t="n">
        <x:v>62.5</x:v>
      </x:c>
      <x:c r="H101" s="22" t="n">
        <x:v>3.66</x:v>
      </x:c>
      <x:c r="I101" s="22" t="n">
        <x:v>10.285513500859857</x:v>
      </x:c>
      <x:c r="J101" s="22" t="n">
        <x:v>0</x:v>
      </x:c>
      <x:c r="K101" s="22" t="n">
        <x:f>IF(D101="原价调整",E101,IF(OR(E101="",E101=0),C101,C101*(1-E101)))</x:f>
        <x:v>44.991</x:v>
      </x:c>
      <x:c r="L101" s="22" t="n">
        <x:f>IFERROR(G101/$B$2,0)</x:f>
        <x:v>9.191176470588236</x:v>
      </x:c>
      <x:c r="M101" s="22" t="n">
        <x:f>L101*$D$2*$F$2</x:f>
        <x:v>0.4365808823529412</x:v>
      </x:c>
      <x:c r="N101" s="22" t="n">
        <x:f>IF(J101&gt;0,J101*$H$2,K101*$J$2)</x:f>
        <x:v>1.7996400000000001</x:v>
      </x:c>
      <x:c r="O101" s="22" t="n">
        <x:f>MAX(K101*$L$2,$N$2)</x:f>
        <x:v>6.74865</x:v>
      </x:c>
      <x:c r="P101" s="22" t="n">
        <x:f>K101-L101-H101-I101-M101-N101-O101</x:f>
        <x:v>12.869439146198973</x:v>
      </x:c>
      <x:c r="Q101" s="29" t="n">
        <x:f>IF(K101&gt;0,P101/K101,0)</x:f>
        <x:v>0.28604474553130566</x:v>
      </x:c>
      <x:c r="R101" s="32" t="n">
        <x:f>ROUND(P101*F101,2)</x:f>
        <x:v>141.56</x:v>
      </x:c>
    </x:row>
    <x:row r="102">
      <x:c r="A102" s="19" t="str">
        <x:v>B0D415W4NY</x:v>
      </x:c>
      <x:c r="B102" s="19" t="str">
        <x:v>PD17-navyblue&amp;jadegreen-8x10</x:v>
      </x:c>
      <x:c r="C102" s="22" t="n">
        <x:v>79.99</x:v>
      </x:c>
      <x:c r="D102" s="22" t="str">
        <x:v>价格折扣</x:v>
      </x:c>
      <x:c r="E102" s="22" t="n">
        <x:v>0.2</x:v>
      </x:c>
      <x:c r="F102" s="25" t="n">
        <x:v>4</x:v>
      </x:c>
      <x:c r="G102" s="22" t="n">
        <x:v>89</x:v>
      </x:c>
      <x:c r="H102" s="22" t="n">
        <x:v>5.4</x:v>
      </x:c>
      <x:c r="I102" s="22" t="n">
        <x:v>12.194666387117124</x:v>
      </x:c>
      <x:c r="J102" s="22" t="n">
        <x:v>0</x:v>
      </x:c>
      <x:c r="K102" s="22" t="n">
        <x:f>IF(D102="原价调整",E102,IF(OR(E102="",E102=0),C102,C102*(1-E102)))</x:f>
        <x:v>63.992</x:v>
      </x:c>
      <x:c r="L102" s="22" t="n">
        <x:f>IFERROR(G102/$B$2,0)</x:f>
        <x:v>13.088235294117647</x:v>
      </x:c>
      <x:c r="M102" s="22" t="n">
        <x:f>L102*$D$2*$F$2</x:f>
        <x:v>0.6216911764705882</x:v>
      </x:c>
      <x:c r="N102" s="22" t="n">
        <x:f>IF(J102&gt;0,J102*$H$2,K102*$J$2)</x:f>
        <x:v>2.5596799999999997</x:v>
      </x:c>
      <x:c r="O102" s="22" t="n">
        <x:f>MAX(K102*$L$2,$N$2)</x:f>
        <x:v>9.598799999999999</x:v>
      </x:c>
      <x:c r="P102" s="22" t="n">
        <x:f>K102-L102-H102-I102-M102-N102-O102</x:f>
        <x:v>20.52892714229464</x:v>
      </x:c>
      <x:c r="Q102" s="29" t="n">
        <x:f>IF(K102&gt;0,P102/K102,0)</x:f>
        <x:v>0.32080458717175026</x:v>
      </x:c>
      <x:c r="R102" s="32" t="n">
        <x:f>ROUND(P102*F102,2)</x:f>
        <x:v>82.12</x:v>
      </x:c>
    </x:row>
    <x:row r="103">
      <x:c r="A103" s="19" t="str">
        <x:v>B0D41581GN</x:v>
      </x:c>
      <x:c r="B103" s="19" t="str">
        <x:v>PD17-navyblue&amp;jadegreen-9x12</x:v>
      </x:c>
      <x:c r="C103" s="22" t="n">
        <x:v>89.99</x:v>
      </x:c>
      <x:c r="D103" s="22" t="str">
        <x:v>价格折扣</x:v>
      </x:c>
      <x:c r="E103" s="22" t="n">
        <x:v>0.1</x:v>
      </x:c>
      <x:c r="F103" s="25" t="n">
        <x:v>14</x:v>
      </x:c>
      <x:c r="G103" s="22" t="n">
        <x:v>109</x:v>
      </x:c>
      <x:c r="H103" s="22" t="n">
        <x:v>7.22</x:v>
      </x:c>
      <x:c r="I103" s="22" t="n">
        <x:v>19.412041751500432</x:v>
      </x:c>
      <x:c r="J103" s="22" t="n">
        <x:v>0</x:v>
      </x:c>
      <x:c r="K103" s="22" t="n">
        <x:f>IF(D103="原价调整",E103,IF(OR(E103="",E103=0),C103,C103*(1-E103)))</x:f>
        <x:v>80.991</x:v>
      </x:c>
      <x:c r="L103" s="22" t="n">
        <x:f>IFERROR(G103/$B$2,0)</x:f>
        <x:v>16.029411764705884</x:v>
      </x:c>
      <x:c r="M103" s="22" t="n">
        <x:f>L103*$D$2*$F$2</x:f>
        <x:v>0.7613970588235295</x:v>
      </x:c>
      <x:c r="N103" s="22" t="n">
        <x:f>IF(J103&gt;0,J103*$H$2,K103*$J$2)</x:f>
        <x:v>3.23964</x:v>
      </x:c>
      <x:c r="O103" s="22" t="n">
        <x:f>MAX(K103*$L$2,$N$2)</x:f>
        <x:v>12.14865</x:v>
      </x:c>
      <x:c r="P103" s="22" t="n">
        <x:f>K103-L103-H103-I103-M103-N103-O103</x:f>
        <x:v>22.179859424970157</x:v>
      </x:c>
      <x:c r="Q103" s="29" t="n">
        <x:f>IF(K103&gt;0,P103/K103,0)</x:f>
        <x:v>0.27385585342779023</x:v>
      </x:c>
      <x:c r="R103" s="32" t="n">
        <x:f>ROUND(P103*F103,2)</x:f>
        <x:v>310.52</x:v>
      </x:c>
    </x:row>
    <x:row r="104">
      <x:c r="A104" s="19" t="str">
        <x:v>B0DFHGCJZ4</x:v>
      </x:c>
      <x:c r="B104" s="19" t="str">
        <x:v>PD17-navyblue&amp;jadegreen-10x14</x:v>
      </x:c>
      <x:c r="C104" s="22" t="n">
        <x:v>115.99</x:v>
      </x:c>
      <x:c r="D104" s="22" t="str">
        <x:v>价格折扣</x:v>
      </x:c>
      <x:c r="E104" s="22" t="n">
        <x:v>0.3</x:v>
      </x:c>
      <x:c r="F104" s="25" t="n">
        <x:v>10</x:v>
      </x:c>
      <x:c r="G104" s="22" t="n">
        <x:v>139</x:v>
      </x:c>
      <x:c r="H104" s="22" t="n">
        <x:v>8.14</x:v>
      </x:c>
      <x:c r="I104" s="22" t="n">
        <x:v>21.409244790423024</x:v>
      </x:c>
      <x:c r="J104" s="22" t="n">
        <x:v>0</x:v>
      </x:c>
      <x:c r="K104" s="22" t="n">
        <x:f>IF(D104="原价调整",E104,IF(OR(E104="",E104=0),C104,C104*(1-E104)))</x:f>
        <x:v>81.193</x:v>
      </x:c>
      <x:c r="L104" s="22" t="n">
        <x:f>IFERROR(G104/$B$2,0)</x:f>
        <x:v>20.441176470588236</x:v>
      </x:c>
      <x:c r="M104" s="22" t="n">
        <x:f>L104*$D$2*$F$2</x:f>
        <x:v>0.9709558823529412</x:v>
      </x:c>
      <x:c r="N104" s="22" t="n">
        <x:f>IF(J104&gt;0,J104*$H$2,K104*$J$2)</x:f>
        <x:v>3.24772</x:v>
      </x:c>
      <x:c r="O104" s="22" t="n">
        <x:f>MAX(K104*$L$2,$N$2)</x:f>
        <x:v>12.178949999999999</x:v>
      </x:c>
      <x:c r="P104" s="22" t="n">
        <x:f>K104-L104-H104-I104-M104-N104-O104</x:f>
        <x:v>14.804952856635799</x:v>
      </x:c>
      <x:c r="Q104" s="29" t="n">
        <x:f>IF(K104&gt;0,P104/K104,0)</x:f>
        <x:v>0.18234272482400946</x:v>
      </x:c>
      <x:c r="R104" s="32" t="n">
        <x:f>ROUND(P104*F104,2)</x:f>
        <x:v>148.05</x:v>
      </x:c>
    </x:row>
    <x:row r="105">
      <x:c r="A105" s="19" t="str">
        <x:v>B0D41673MQ</x:v>
      </x:c>
      <x:c r="B105" s="19" t="str">
        <x:v>PD17-royalblue&amp;bluegreen-5x8</x:v>
      </x:c>
      <x:c r="C105" s="22" t="n">
        <x:v>39.99</x:v>
      </x:c>
      <x:c r="D105" s="22" t="str">
        <x:v>价格折扣</x:v>
      </x:c>
      <x:c r="E105" s="22" t="n">
        <x:v>0.25</x:v>
      </x:c>
      <x:c r="F105" s="25" t="n">
        <x:v>9</x:v>
      </x:c>
      <x:c r="G105" s="22" t="n">
        <x:v>50</x:v>
      </x:c>
      <x:c r="H105" s="22" t="n">
        <x:v>2.3</x:v>
      </x:c>
      <x:c r="I105" s="22" t="n">
        <x:v>8.737796706421872</x:v>
      </x:c>
      <x:c r="J105" s="22" t="n">
        <x:v>0</x:v>
      </x:c>
      <x:c r="K105" s="22" t="n">
        <x:f>IF(D105="原价调整",E105,IF(OR(E105="",E105=0),C105,C105*(1-E105)))</x:f>
        <x:v>29.9925</x:v>
      </x:c>
      <x:c r="L105" s="22" t="n">
        <x:f>IFERROR(G105/$B$2,0)</x:f>
        <x:v>7.352941176470589</x:v>
      </x:c>
      <x:c r="M105" s="22" t="n">
        <x:f>L105*$D$2*$F$2</x:f>
        <x:v>0.349264705882353</x:v>
      </x:c>
      <x:c r="N105" s="22" t="n">
        <x:f>IF(J105&gt;0,J105*$H$2,K105*$J$2)</x:f>
        <x:v>1.1997</x:v>
      </x:c>
      <x:c r="O105" s="22" t="n">
        <x:f>MAX(K105*$L$2,$N$2)</x:f>
        <x:v>4.498875</x:v>
      </x:c>
      <x:c r="P105" s="22" t="n">
        <x:f>K105-L105-H105-I105-M105-N105-O105</x:f>
        <x:v>5.553922411225187</x:v>
      </x:c>
      <x:c r="Q105" s="29" t="n">
        <x:f>IF(K105&gt;0,P105/K105,0)</x:f>
        <x:v>0.18517704130116486</x:v>
      </x:c>
      <x:c r="R105" s="32" t="n">
        <x:f>ROUND(P105*F105,2)</x:f>
        <x:v>49.99</x:v>
      </x:c>
    </x:row>
    <x:row r="106">
      <x:c r="A106" s="19" t="str">
        <x:v>B0CNJMG3Q7</x:v>
      </x:c>
      <x:c r="B106" s="19" t="str">
        <x:v>PD17-royalblue&amp;bluegreen-6x9</x:v>
      </x:c>
      <x:c r="C106" s="22" t="n">
        <x:v>49.99</x:v>
      </x:c>
      <x:c r="D106" s="22" t="str">
        <x:v>价格折扣</x:v>
      </x:c>
      <x:c r="E106" s="22" t="n">
        <x:v>0.35</x:v>
      </x:c>
      <x:c r="F106" s="25" t="n">
        <x:v>3</x:v>
      </x:c>
      <x:c r="G106" s="22" t="n">
        <x:v>62.5</x:v>
      </x:c>
      <x:c r="H106" s="22" t="n">
        <x:v>3.66</x:v>
      </x:c>
      <x:c r="I106" s="22" t="n">
        <x:v>10.285513500859857</x:v>
      </x:c>
      <x:c r="J106" s="22" t="n">
        <x:v>0</x:v>
      </x:c>
      <x:c r="K106" s="22" t="n">
        <x:f>IF(D106="原价调整",E106,IF(OR(E106="",E106=0),C106,C106*(1-E106)))</x:f>
        <x:v>32.493500000000004</x:v>
      </x:c>
      <x:c r="L106" s="22" t="n">
        <x:f>IFERROR(G106/$B$2,0)</x:f>
        <x:v>9.191176470588236</x:v>
      </x:c>
      <x:c r="M106" s="22" t="n">
        <x:f>L106*$D$2*$F$2</x:f>
        <x:v>0.4365808823529412</x:v>
      </x:c>
      <x:c r="N106" s="22" t="n">
        <x:f>IF(J106&gt;0,J106*$H$2,K106*$J$2)</x:f>
        <x:v>1.2997400000000001</x:v>
      </x:c>
      <x:c r="O106" s="22" t="n">
        <x:f>MAX(K106*$L$2,$N$2)</x:f>
        <x:v>4.8740250000000005</x:v>
      </x:c>
      <x:c r="P106" s="22" t="n">
        <x:f>K106-L106-H106-I106-M106-N106-O106</x:f>
        <x:v>2.74646414619897</x:v>
      </x:c>
      <x:c r="Q106" s="29" t="n">
        <x:f>IF(K106&gt;0,P106/K106,0)</x:f>
        <x:v>0.08452349381257696</x:v>
      </x:c>
      <x:c r="R106" s="32" t="n">
        <x:f>ROUND(P106*F106,2)</x:f>
        <x:v>8.24</x:v>
      </x:c>
    </x:row>
    <x:row r="107">
      <x:c r="A107" s="19" t="str">
        <x:v>B0D416FPLL</x:v>
      </x:c>
      <x:c r="B107" s="19" t="str">
        <x:v>PD17-royalblue&amp;bluegreen-8x10</x:v>
      </x:c>
      <x:c r="C107" s="22" t="n">
        <x:v>79.99</x:v>
      </x:c>
      <x:c r="D107" s="22" t="str">
        <x:v>价格折扣</x:v>
      </x:c>
      <x:c r="E107" s="22" t="n">
        <x:v>0.25</x:v>
      </x:c>
      <x:c r="F107" s="25" t="n">
        <x:v>5</x:v>
      </x:c>
      <x:c r="G107" s="22" t="n">
        <x:v>89</x:v>
      </x:c>
      <x:c r="H107" s="22" t="n">
        <x:v>5.4</x:v>
      </x:c>
      <x:c r="I107" s="22" t="n">
        <x:v>12.194666387117124</x:v>
      </x:c>
      <x:c r="J107" s="22" t="n">
        <x:v>0</x:v>
      </x:c>
      <x:c r="K107" s="22" t="n">
        <x:f>IF(D107="原价调整",E107,IF(OR(E107="",E107=0),C107,C107*(1-E107)))</x:f>
        <x:v>59.99249999999999</x:v>
      </x:c>
      <x:c r="L107" s="22" t="n">
        <x:f>IFERROR(G107/$B$2,0)</x:f>
        <x:v>13.088235294117647</x:v>
      </x:c>
      <x:c r="M107" s="22" t="n">
        <x:f>L107*$D$2*$F$2</x:f>
        <x:v>0.6216911764705882</x:v>
      </x:c>
      <x:c r="N107" s="22" t="n">
        <x:f>IF(J107&gt;0,J107*$H$2,K107*$J$2)</x:f>
        <x:v>2.3996999999999997</x:v>
      </x:c>
      <x:c r="O107" s="22" t="n">
        <x:f>MAX(K107*$L$2,$N$2)</x:f>
        <x:v>8.998874999999998</x:v>
      </x:c>
      <x:c r="P107" s="22" t="n">
        <x:f>K107-L107-H107-I107-M107-N107-O107</x:f>
        <x:v>17.28933214229464</x:v>
      </x:c>
      <x:c r="Q107" s="29" t="n">
        <x:f>IF(K107&gt;0,P107/K107,0)</x:f>
        <x:v>0.2881915596498669</x:v>
      </x:c>
      <x:c r="R107" s="32" t="n">
        <x:f>ROUND(P107*F107,2)</x:f>
        <x:v>86.45</x:v>
      </x:c>
    </x:row>
    <x:row r="108">
      <x:c r="A108" s="19" t="str">
        <x:v>B0D415W2NQ</x:v>
      </x:c>
      <x:c r="B108" s="19" t="str">
        <x:v>PD17-royalblue&amp;bluegreen-9x12</x:v>
      </x:c>
      <x:c r="C108" s="22" t="n">
        <x:v>89.99</x:v>
      </x:c>
      <x:c r="D108" s="22" t="str">
        <x:v>价格折扣</x:v>
      </x:c>
      <x:c r="E108" s="22" t="n">
        <x:v>0.15</x:v>
      </x:c>
      <x:c r="F108" s="25" t="n">
        <x:v>11</x:v>
      </x:c>
      <x:c r="G108" s="22" t="n">
        <x:v>109</x:v>
      </x:c>
      <x:c r="H108" s="22" t="n">
        <x:v>7.22</x:v>
      </x:c>
      <x:c r="I108" s="22" t="n">
        <x:v>19.412041751500432</x:v>
      </x:c>
      <x:c r="J108" s="22" t="n">
        <x:v>0</x:v>
      </x:c>
      <x:c r="K108" s="22" t="n">
        <x:f>IF(D108="原价调整",E108,IF(OR(E108="",E108=0),C108,C108*(1-E108)))</x:f>
        <x:v>76.49149999999999</x:v>
      </x:c>
      <x:c r="L108" s="22" t="n">
        <x:f>IFERROR(G108/$B$2,0)</x:f>
        <x:v>16.029411764705884</x:v>
      </x:c>
      <x:c r="M108" s="22" t="n">
        <x:f>L108*$D$2*$F$2</x:f>
        <x:v>0.7613970588235295</x:v>
      </x:c>
      <x:c r="N108" s="22" t="n">
        <x:f>IF(J108&gt;0,J108*$H$2,K108*$J$2)</x:f>
        <x:v>3.0596599999999996</x:v>
      </x:c>
      <x:c r="O108" s="22" t="n">
        <x:f>MAX(K108*$L$2,$N$2)</x:f>
        <x:v>11.473724999999998</x:v>
      </x:c>
      <x:c r="P108" s="22" t="n">
        <x:f>K108-L108-H108-I108-M108-N108-O108</x:f>
        <x:v>18.535264424970148</x:v>
      </x:c>
      <x:c r="Q108" s="29" t="n">
        <x:f>IF(K108&gt;0,P108/K108,0)</x:f>
        <x:v>0.24231796245295426</x:v>
      </x:c>
      <x:c r="R108" s="32" t="n">
        <x:f>ROUND(P108*F108,2)</x:f>
        <x:v>203.89</x:v>
      </x:c>
    </x:row>
    <x:row r="109">
      <x:c r="A109" s="19" t="str">
        <x:v>B0DFHJF9W8</x:v>
      </x:c>
      <x:c r="B109" s="19" t="str">
        <x:v>PD17-royalblue&amp;bluegreen-10x14</x:v>
      </x:c>
      <x:c r="C109" s="22" t="n">
        <x:v>115.99</x:v>
      </x:c>
      <x:c r="D109" s="22" t="str">
        <x:v>价格折扣</x:v>
      </x:c>
      <x:c r="E109" s="22" t="n">
        <x:v>0.25</x:v>
      </x:c>
      <x:c r="F109" s="25" t="n">
        <x:v>2</x:v>
      </x:c>
      <x:c r="G109" s="22" t="n">
        <x:v>139</x:v>
      </x:c>
      <x:c r="H109" s="22" t="n">
        <x:v>8.14</x:v>
      </x:c>
      <x:c r="I109" s="22" t="n">
        <x:v>21.409244790423024</x:v>
      </x:c>
      <x:c r="J109" s="22" t="n">
        <x:v>0</x:v>
      </x:c>
      <x:c r="K109" s="22" t="n">
        <x:f>IF(D109="原价调整",E109,IF(OR(E109="",E109=0),C109,C109*(1-E109)))</x:f>
        <x:v>86.99249999999999</x:v>
      </x:c>
      <x:c r="L109" s="22" t="n">
        <x:f>IFERROR(G109/$B$2,0)</x:f>
        <x:v>20.441176470588236</x:v>
      </x:c>
      <x:c r="M109" s="22" t="n">
        <x:f>L109*$D$2*$F$2</x:f>
        <x:v>0.9709558823529412</x:v>
      </x:c>
      <x:c r="N109" s="22" t="n">
        <x:f>IF(J109&gt;0,J109*$H$2,K109*$J$2)</x:f>
        <x:v>3.4797</x:v>
      </x:c>
      <x:c r="O109" s="22" t="n">
        <x:f>MAX(K109*$L$2,$N$2)</x:f>
        <x:v>13.048874999999999</x:v>
      </x:c>
      <x:c r="P109" s="22" t="n">
        <x:f>K109-L109-H109-I109-M109-N109-O109</x:f>
        <x:v>19.502547856635797</x:v>
      </x:c>
      <x:c r="Q109" s="29" t="n">
        <x:f>IF(K109&gt;0,P109/K109,0)</x:f>
        <x:v>0.22418654316907546</x:v>
      </x:c>
      <x:c r="R109" s="32" t="n">
        <x:f>ROUND(P109*F109,2)</x:f>
        <x:v>39.01</x:v>
      </x:c>
    </x:row>
    <x:row r="110">
      <x:c r="A110" s="19" t="str">
        <x:v>B0FMX41DYP</x:v>
      </x:c>
      <x:c r="B110" s="19" t="str">
        <x:v>PD17-brickred-5X8FT</x:v>
      </x:c>
      <x:c r="C110" s="22" t="n">
        <x:v>39.99</x:v>
      </x:c>
      <x:c r="D110" s="22" t="str"/>
      <x:c r="E110" s="22"/>
      <x:c r="F110" s="25" t="n">
        <x:v>14</x:v>
      </x:c>
      <x:c r="G110" s="22" t="n">
        <x:v>50</x:v>
      </x:c>
      <x:c r="H110" s="22" t="n">
        <x:v>2.3</x:v>
      </x:c>
      <x:c r="I110" s="22" t="n">
        <x:v>8.737796706421872</x:v>
      </x:c>
      <x:c r="J110" s="22" t="n">
        <x:v>0</x:v>
      </x:c>
      <x:c r="K110" s="22" t="n">
        <x:f>IF(D110="原价调整",E110,IF(OR(E110="",E110=0),C110,C110*(1-E110)))</x:f>
        <x:v>39.99</x:v>
      </x:c>
      <x:c r="L110" s="22" t="n">
        <x:f>IFERROR(G110/$B$2,0)</x:f>
        <x:v>7.352941176470589</x:v>
      </x:c>
      <x:c r="M110" s="22" t="n">
        <x:f>L110*$D$2*$F$2</x:f>
        <x:v>0.349264705882353</x:v>
      </x:c>
      <x:c r="N110" s="22" t="n">
        <x:f>IF(J110&gt;0,J110*$H$2,K110*$J$2)</x:f>
        <x:v>1.5996000000000001</x:v>
      </x:c>
      <x:c r="O110" s="22" t="n">
        <x:f>MAX(K110*$L$2,$N$2)</x:f>
        <x:v>5.9985</x:v>
      </x:c>
      <x:c r="P110" s="22" t="n">
        <x:f>K110-L110-H110-I110-M110-N110-O110</x:f>
        <x:v>13.651897411225193</x:v>
      </x:c>
      <x:c r="Q110" s="29" t="n">
        <x:f>IF(K110&gt;0,P110/K110,0)</x:f>
        <x:v>0.34138278097587377</x:v>
      </x:c>
      <x:c r="R110" s="32" t="n">
        <x:f>ROUND(P110*F110,2)</x:f>
        <x:v>191.13</x:v>
      </x:c>
    </x:row>
    <x:row r="111">
      <x:c r="A111" s="19" t="str">
        <x:v>B0DP77M8ZW</x:v>
      </x:c>
      <x:c r="B111" s="19" t="str">
        <x:v>PD17-brickred-6X9FT</x:v>
      </x:c>
      <x:c r="C111" s="22" t="n">
        <x:v>49.99</x:v>
      </x:c>
      <x:c r="D111" s="22" t="str"/>
      <x:c r="E111" s="22"/>
      <x:c r="F111" s="25" t="n">
        <x:v>3</x:v>
      </x:c>
      <x:c r="G111" s="22" t="n">
        <x:v>62.5</x:v>
      </x:c>
      <x:c r="H111" s="22" t="n">
        <x:v>3.66</x:v>
      </x:c>
      <x:c r="I111" s="22" t="n">
        <x:v>10.285513500859857</x:v>
      </x:c>
      <x:c r="J111" s="22" t="n">
        <x:v>0</x:v>
      </x:c>
      <x:c r="K111" s="22" t="n">
        <x:f>IF(D111="原价调整",E111,IF(OR(E111="",E111=0),C111,C111*(1-E111)))</x:f>
        <x:v>49.99</x:v>
      </x:c>
      <x:c r="L111" s="22" t="n">
        <x:f>IFERROR(G111/$B$2,0)</x:f>
        <x:v>9.191176470588236</x:v>
      </x:c>
      <x:c r="M111" s="22" t="n">
        <x:f>L111*$D$2*$F$2</x:f>
        <x:v>0.4365808823529412</x:v>
      </x:c>
      <x:c r="N111" s="22" t="n">
        <x:f>IF(J111&gt;0,J111*$H$2,K111*$J$2)</x:f>
        <x:v>1.9996</x:v>
      </x:c>
      <x:c r="O111" s="22" t="n">
        <x:f>MAX(K111*$L$2,$N$2)</x:f>
        <x:v>7.4985</x:v>
      </x:c>
      <x:c r="P111" s="22" t="n">
        <x:f>K111-L111-H111-I111-M111-N111-O111</x:f>
        <x:v>16.918629146198967</x:v>
      </x:c>
      <x:c r="Q111" s="29" t="n">
        <x:f>IF(K111&gt;0,P111/K111,0)</x:f>
        <x:v>0.338440270978175</x:v>
      </x:c>
      <x:c r="R111" s="32" t="n">
        <x:f>ROUND(P111*F111,2)</x:f>
        <x:v>50.76</x:v>
      </x:c>
    </x:row>
    <x:row r="112">
      <x:c r="A112" s="19" t="str">
        <x:v>B0FP5HVLCT</x:v>
      </x:c>
      <x:c r="B112" s="19" t="str">
        <x:v>PD17-brickred-8X10FT</x:v>
      </x:c>
      <x:c r="C112" s="22" t="n">
        <x:v>79.99</x:v>
      </x:c>
      <x:c r="D112" s="22" t="str"/>
      <x:c r="E112" s="22"/>
      <x:c r="F112" s="25" t="n">
        <x:v>4</x:v>
      </x:c>
      <x:c r="G112" s="22" t="n">
        <x:v>89</x:v>
      </x:c>
      <x:c r="H112" s="22" t="n">
        <x:v>5.4</x:v>
      </x:c>
      <x:c r="I112" s="22" t="n">
        <x:v>12.194666387117124</x:v>
      </x:c>
      <x:c r="J112" s="22" t="n">
        <x:v>0</x:v>
      </x:c>
      <x:c r="K112" s="22" t="n">
        <x:f>IF(D112="原价调整",E112,IF(OR(E112="",E112=0),C112,C112*(1-E112)))</x:f>
        <x:v>79.99</x:v>
      </x:c>
      <x:c r="L112" s="22" t="n">
        <x:f>IFERROR(G112/$B$2,0)</x:f>
        <x:v>13.088235294117647</x:v>
      </x:c>
      <x:c r="M112" s="22" t="n">
        <x:f>L112*$D$2*$F$2</x:f>
        <x:v>0.6216911764705882</x:v>
      </x:c>
      <x:c r="N112" s="22" t="n">
        <x:f>IF(J112&gt;0,J112*$H$2,K112*$J$2)</x:f>
        <x:v>3.1995999999999998</x:v>
      </x:c>
      <x:c r="O112" s="22" t="n">
        <x:f>MAX(K112*$L$2,$N$2)</x:f>
        <x:v>11.998499999999998</x:v>
      </x:c>
      <x:c r="P112" s="22" t="n">
        <x:f>K112-L112-H112-I112-M112-N112-O112</x:f>
        <x:v>33.48730714229463</x:v>
      </x:c>
      <x:c r="Q112" s="29" t="n">
        <x:f>IF(K112&gt;0,P112/K112,0)</x:f>
        <x:v>0.4186436697374001</x:v>
      </x:c>
      <x:c r="R112" s="32" t="n">
        <x:f>ROUND(P112*F112,2)</x:f>
        <x:v>133.95</x:v>
      </x:c>
    </x:row>
    <x:row r="113">
      <x:c r="A113" s="19" t="str">
        <x:v>B0FP5GJ3SZ</x:v>
      </x:c>
      <x:c r="B113" s="19" t="str">
        <x:v>PD17-brickred-9X12FT</x:v>
      </x:c>
      <x:c r="C113" s="22" t="n">
        <x:v>89.99</x:v>
      </x:c>
      <x:c r="D113" s="22" t="str">
        <x:v>价格折扣</x:v>
      </x:c>
      <x:c r="E113" s="22" t="n">
        <x:v>0.2</x:v>
      </x:c>
      <x:c r="F113" s="25" t="n">
        <x:v>5</x:v>
      </x:c>
      <x:c r="G113" s="22" t="n">
        <x:v>109</x:v>
      </x:c>
      <x:c r="H113" s="22" t="n">
        <x:v>7.22</x:v>
      </x:c>
      <x:c r="I113" s="22" t="n">
        <x:v>19.412041751500432</x:v>
      </x:c>
      <x:c r="J113" s="22" t="n">
        <x:v>0</x:v>
      </x:c>
      <x:c r="K113" s="22" t="n">
        <x:f>IF(D113="原价调整",E113,IF(OR(E113="",E113=0),C113,C113*(1-E113)))</x:f>
        <x:v>71.992</x:v>
      </x:c>
      <x:c r="L113" s="22" t="n">
        <x:f>IFERROR(G113/$B$2,0)</x:f>
        <x:v>16.029411764705884</x:v>
      </x:c>
      <x:c r="M113" s="22" t="n">
        <x:f>L113*$D$2*$F$2</x:f>
        <x:v>0.7613970588235295</x:v>
      </x:c>
      <x:c r="N113" s="22" t="n">
        <x:f>IF(J113&gt;0,J113*$H$2,K113*$J$2)</x:f>
        <x:v>2.87968</x:v>
      </x:c>
      <x:c r="O113" s="22" t="n">
        <x:f>MAX(K113*$L$2,$N$2)</x:f>
        <x:v>10.7988</x:v>
      </x:c>
      <x:c r="P113" s="22" t="n">
        <x:f>K113-L113-H113-I113-M113-N113-O113</x:f>
        <x:v>14.89066942497016</x:v>
      </x:c>
      <x:c r="Q113" s="29" t="n">
        <x:f>IF(K113&gt;0,P113/K113,0)</x:f>
        <x:v>0.206837835106264</x:v>
      </x:c>
      <x:c r="R113" s="32" t="n">
        <x:f>ROUND(P113*F113,2)</x:f>
        <x:v>74.45</x:v>
      </x:c>
    </x:row>
    <x:row r="114">
      <x:c r="A114" s="19" t="str">
        <x:v>B0FP5GP2N3</x:v>
      </x:c>
      <x:c r="B114" s="19" t="str">
        <x:v>PD17-brickred-10X14FT</x:v>
      </x:c>
      <x:c r="C114" s="22" t="n">
        <x:v>115.99</x:v>
      </x:c>
      <x:c r="D114" s="22" t="str"/>
      <x:c r="E114" s="22"/>
      <x:c r="F114" s="25" t="n">
        <x:v>0</x:v>
      </x:c>
      <x:c r="G114" s="22" t="n">
        <x:v>139</x:v>
      </x:c>
      <x:c r="H114" s="22" t="n">
        <x:v>8.14</x:v>
      </x:c>
      <x:c r="I114" s="22" t="n">
        <x:v>21.409244790423024</x:v>
      </x:c>
      <x:c r="J114" s="22" t="n">
        <x:v>0</x:v>
      </x:c>
      <x:c r="K114" s="22" t="n">
        <x:f>IF(D114="原价调整",E114,IF(OR(E114="",E114=0),C114,C114*(1-E114)))</x:f>
        <x:v>115.99</x:v>
      </x:c>
      <x:c r="L114" s="22" t="n">
        <x:f>IFERROR(G114/$B$2,0)</x:f>
        <x:v>20.441176470588236</x:v>
      </x:c>
      <x:c r="M114" s="22" t="n">
        <x:f>L114*$D$2*$F$2</x:f>
        <x:v>0.9709558823529412</x:v>
      </x:c>
      <x:c r="N114" s="22" t="n">
        <x:f>IF(J114&gt;0,J114*$H$2,K114*$J$2)</x:f>
        <x:v>4.6396</x:v>
      </x:c>
      <x:c r="O114" s="22" t="n">
        <x:f>MAX(K114*$L$2,$N$2)</x:f>
        <x:v>17.3985</x:v>
      </x:c>
      <x:c r="P114" s="22" t="n">
        <x:f>K114-L114-H114-I114-M114-N114-O114</x:f>
        <x:v>42.99052285663579</x:v>
      </x:c>
      <x:c r="Q114" s="29" t="n">
        <x:f>IF(K114&gt;0,P114/K114,0)</x:f>
        <x:v>0.3706399073768066</x:v>
      </x:c>
      <x:c r="R114" s="32" t="n">
        <x:f>ROUND(P114*F114,2)</x:f>
        <x:v>0</x:v>
      </x:c>
    </x:row>
    <x:row r="115">
      <x:c r="A115" s="19" t="str">
        <x:v>B0FXDWWL2L</x:v>
      </x:c>
      <x:c r="B115" s="19" t="str">
        <x:v>PDF065-BLACKBROWN-6X9FT</x:v>
      </x:c>
      <x:c r="C115" s="22" t="n">
        <x:v>49.99</x:v>
      </x:c>
      <x:c r="D115" s="22" t="str">
        <x:v>价格折扣</x:v>
      </x:c>
      <x:c r="E115" s="22" t="n">
        <x:v>0.15</x:v>
      </x:c>
      <x:c r="F115" s="25" t="n">
        <x:v>4</x:v>
      </x:c>
      <x:c r="G115" s="22" t="n">
        <x:v>62.5</x:v>
      </x:c>
      <x:c r="H115" s="22" t="n">
        <x:v>3.66</x:v>
      </x:c>
      <x:c r="I115" s="22" t="n">
        <x:v>10.285513500859857</x:v>
      </x:c>
      <x:c r="J115" s="22" t="n">
        <x:v>0</x:v>
      </x:c>
      <x:c r="K115" s="22" t="n">
        <x:f>IF(D115="原价调整",E115,IF(OR(E115="",E115=0),C115,C115*(1-E115)))</x:f>
        <x:v>42.4915</x:v>
      </x:c>
      <x:c r="L115" s="22" t="n">
        <x:f>IFERROR(G115/$B$2,0)</x:f>
        <x:v>9.191176470588236</x:v>
      </x:c>
      <x:c r="M115" s="22" t="n">
        <x:f>L115*$D$2*$F$2</x:f>
        <x:v>0.4365808823529412</x:v>
      </x:c>
      <x:c r="N115" s="22" t="n">
        <x:f>IF(J115&gt;0,J115*$H$2,K115*$J$2)</x:f>
        <x:v>1.6996600000000002</x:v>
      </x:c>
      <x:c r="O115" s="22" t="n">
        <x:f>MAX(K115*$L$2,$N$2)</x:f>
        <x:v>6.373725</x:v>
      </x:c>
      <x:c r="P115" s="22" t="n">
        <x:f>K115-L115-H115-I115-M115-N115-O115</x:f>
        <x:v>10.84484414619897</x:v>
      </x:c>
      <x:c r="Q115" s="29" t="n">
        <x:f>IF(K115&gt;0,P115/K115,0)</x:f>
        <x:v>0.2552238482096177</x:v>
      </x:c>
      <x:c r="R115" s="32" t="n">
        <x:f>ROUND(P115*F115,2)</x:f>
        <x:v>43.38</x:v>
      </x:c>
    </x:row>
    <x:row r="116">
      <x:c r="A116" s="19" t="str">
        <x:v>B0FXDZN7PY</x:v>
      </x:c>
      <x:c r="B116" s="19" t="str">
        <x:v>PDF065-COFFEEBEIGE-6X9FT</x:v>
      </x:c>
      <x:c r="C116" s="22" t="n">
        <x:v>49.99</x:v>
      </x:c>
      <x:c r="D116" s="22" t="str">
        <x:v>价格折扣</x:v>
      </x:c>
      <x:c r="E116" s="22" t="n">
        <x:v>0.2</x:v>
      </x:c>
      <x:c r="F116" s="25" t="n">
        <x:v>6</x:v>
      </x:c>
      <x:c r="G116" s="22" t="n">
        <x:v>62.5</x:v>
      </x:c>
      <x:c r="H116" s="22" t="n">
        <x:v>3.66</x:v>
      </x:c>
      <x:c r="I116" s="22" t="n">
        <x:v>10.285513500859857</x:v>
      </x:c>
      <x:c r="J116" s="22" t="n">
        <x:v>0</x:v>
      </x:c>
      <x:c r="K116" s="22" t="n">
        <x:f>IF(D116="原价调整",E116,IF(OR(E116="",E116=0),C116,C116*(1-E116)))</x:f>
        <x:v>39.992000000000004</x:v>
      </x:c>
      <x:c r="L116" s="22" t="n">
        <x:f>IFERROR(G116/$B$2,0)</x:f>
        <x:v>9.191176470588236</x:v>
      </x:c>
      <x:c r="M116" s="22" t="n">
        <x:f>L116*$D$2*$F$2</x:f>
        <x:v>0.4365808823529412</x:v>
      </x:c>
      <x:c r="N116" s="22" t="n">
        <x:f>IF(J116&gt;0,J116*$H$2,K116*$J$2)</x:f>
        <x:v>1.5996800000000002</x:v>
      </x:c>
      <x:c r="O116" s="22" t="n">
        <x:f>MAX(K116*$L$2,$N$2)</x:f>
        <x:v>5.9988</x:v>
      </x:c>
      <x:c r="P116" s="22" t="n">
        <x:f>K116-L116-H116-I116-M116-N116-O116</x:f>
        <x:v>8.820249146198972</x:v>
      </x:c>
      <x:c r="Q116" s="29" t="n">
        <x:f>IF(K116&gt;0,P116/K116,0)</x:f>
        <x:v>0.22055033872271881</x:v>
      </x:c>
      <x:c r="R116" s="32" t="n">
        <x:f>ROUND(P116*F116,2)</x:f>
        <x:v>52.92</x:v>
      </x:c>
    </x:row>
    <x:row r="117">
      <x:c r="A117" s="19" t="str">
        <x:v>B0FXDV4WFG</x:v>
      </x:c>
      <x:c r="B117" s="19" t="str">
        <x:v>PDF065-BLUEWHITE-6X9FT</x:v>
      </x:c>
      <x:c r="C117" s="22" t="n">
        <x:v>49.99</x:v>
      </x:c>
      <x:c r="D117" s="22" t="str"/>
      <x:c r="E117" s="22"/>
      <x:c r="F117" s="25" t="n">
        <x:v>0</x:v>
      </x:c>
      <x:c r="G117" s="22" t="n">
        <x:v>62.5</x:v>
      </x:c>
      <x:c r="H117" s="22" t="n">
        <x:v>3.66</x:v>
      </x:c>
      <x:c r="I117" s="22" t="n">
        <x:v>10.285513500859857</x:v>
      </x:c>
      <x:c r="J117" s="22" t="n">
        <x:v>0</x:v>
      </x:c>
      <x:c r="K117" s="22" t="n">
        <x:f>IF(D117="原价调整",E117,IF(OR(E117="",E117=0),C117,C117*(1-E117)))</x:f>
        <x:v>49.99</x:v>
      </x:c>
      <x:c r="L117" s="22" t="n">
        <x:f>IFERROR(G117/$B$2,0)</x:f>
        <x:v>9.191176470588236</x:v>
      </x:c>
      <x:c r="M117" s="22" t="n">
        <x:f>L117*$D$2*$F$2</x:f>
        <x:v>0.4365808823529412</x:v>
      </x:c>
      <x:c r="N117" s="22" t="n">
        <x:f>IF(J117&gt;0,J117*$H$2,K117*$J$2)</x:f>
        <x:v>1.9996</x:v>
      </x:c>
      <x:c r="O117" s="22" t="n">
        <x:f>MAX(K117*$L$2,$N$2)</x:f>
        <x:v>7.4985</x:v>
      </x:c>
      <x:c r="P117" s="22" t="n">
        <x:f>K117-L117-H117-I117-M117-N117-O117</x:f>
        <x:v>16.918629146198967</x:v>
      </x:c>
      <x:c r="Q117" s="29" t="n">
        <x:f>IF(K117&gt;0,P117/K117,0)</x:f>
        <x:v>0.338440270978175</x:v>
      </x:c>
      <x:c r="R117" s="32" t="n">
        <x:f>ROUND(P117*F117,2)</x:f>
        <x:v>0</x:v>
      </x:c>
    </x:row>
    <x:row r="118">
      <x:c r="A118" s="19" t="str">
        <x:v>B0FXDXSQGW</x:v>
      </x:c>
      <x:c r="B118" s="19" t="str">
        <x:v>PDN067-BROWNBEIGE-6X9FT</x:v>
      </x:c>
      <x:c r="C118" s="22" t="n">
        <x:v>49.99</x:v>
      </x:c>
      <x:c r="D118" s="22" t="str"/>
      <x:c r="E118" s="22"/>
      <x:c r="F118" s="25" t="n">
        <x:v>0</x:v>
      </x:c>
      <x:c r="G118" s="22" t="n">
        <x:v>62.5</x:v>
      </x:c>
      <x:c r="H118" s="22" t="n">
        <x:v>3.66</x:v>
      </x:c>
      <x:c r="I118" s="22" t="n">
        <x:v>10.285513500859857</x:v>
      </x:c>
      <x:c r="J118" s="22" t="n">
        <x:v>0</x:v>
      </x:c>
      <x:c r="K118" s="22" t="n">
        <x:f>IF(D118="原价调整",E118,IF(OR(E118="",E118=0),C118,C118*(1-E118)))</x:f>
        <x:v>49.99</x:v>
      </x:c>
      <x:c r="L118" s="22" t="n">
        <x:f>IFERROR(G118/$B$2,0)</x:f>
        <x:v>9.191176470588236</x:v>
      </x:c>
      <x:c r="M118" s="22" t="n">
        <x:f>L118*$D$2*$F$2</x:f>
        <x:v>0.4365808823529412</x:v>
      </x:c>
      <x:c r="N118" s="22" t="n">
        <x:f>IF(J118&gt;0,J118*$H$2,K118*$J$2)</x:f>
        <x:v>1.9996</x:v>
      </x:c>
      <x:c r="O118" s="22" t="n">
        <x:f>MAX(K118*$L$2,$N$2)</x:f>
        <x:v>7.4985</x:v>
      </x:c>
      <x:c r="P118" s="22" t="n">
        <x:f>K118-L118-H118-I118-M118-N118-O118</x:f>
        <x:v>16.918629146198967</x:v>
      </x:c>
      <x:c r="Q118" s="29" t="n">
        <x:f>IF(K118&gt;0,P118/K118,0)</x:f>
        <x:v>0.338440270978175</x:v>
      </x:c>
      <x:c r="R118" s="32" t="n">
        <x:f>ROUND(P118*F118,2)</x:f>
        <x:v>0</x:v>
      </x:c>
    </x:row>
    <x:row r="119">
      <x:c r="A119" s="19" t="str">
        <x:v>B0FXDXTK4F</x:v>
      </x:c>
      <x:c r="B119" s="19" t="str">
        <x:v>PDN068-BLACKBROWN-5X8FT</x:v>
      </x:c>
      <x:c r="C119" s="22" t="n">
        <x:v>39.99</x:v>
      </x:c>
      <x:c r="D119" s="22" t="str"/>
      <x:c r="E119" s="22"/>
      <x:c r="F119" s="25" t="n">
        <x:v>6</x:v>
      </x:c>
      <x:c r="G119" s="22" t="n">
        <x:v>50</x:v>
      </x:c>
      <x:c r="H119" s="22" t="n">
        <x:v>2.3</x:v>
      </x:c>
      <x:c r="I119" s="22" t="n">
        <x:v>8.737796706421872</x:v>
      </x:c>
      <x:c r="J119" s="22" t="n">
        <x:v>0</x:v>
      </x:c>
      <x:c r="K119" s="22" t="n">
        <x:f>IF(D119="原价调整",E119,IF(OR(E119="",E119=0),C119,C119*(1-E119)))</x:f>
        <x:v>39.99</x:v>
      </x:c>
      <x:c r="L119" s="22" t="n">
        <x:f>IFERROR(G119/$B$2,0)</x:f>
        <x:v>7.352941176470589</x:v>
      </x:c>
      <x:c r="M119" s="22" t="n">
        <x:f>L119*$D$2*$F$2</x:f>
        <x:v>0.349264705882353</x:v>
      </x:c>
      <x:c r="N119" s="22" t="n">
        <x:f>IF(J119&gt;0,J119*$H$2,K119*$J$2)</x:f>
        <x:v>1.5996000000000001</x:v>
      </x:c>
      <x:c r="O119" s="22" t="n">
        <x:f>MAX(K119*$L$2,$N$2)</x:f>
        <x:v>5.9985</x:v>
      </x:c>
      <x:c r="P119" s="22" t="n">
        <x:f>K119-L119-H119-I119-M119-N119-O119</x:f>
        <x:v>13.651897411225193</x:v>
      </x:c>
      <x:c r="Q119" s="29" t="n">
        <x:f>IF(K119&gt;0,P119/K119,0)</x:f>
        <x:v>0.34138278097587377</x:v>
      </x:c>
      <x:c r="R119" s="32" t="n">
        <x:f>ROUND(P119*F119,2)</x:f>
        <x:v>81.91</x:v>
      </x:c>
    </x:row>
    <x:row r="120">
      <x:c r="A120" s="19" t="str">
        <x:v>B0FXDWVV7D</x:v>
      </x:c>
      <x:c r="B120" s="19" t="str">
        <x:v>PDN068-BLACKBROWN-6X9FT</x:v>
      </x:c>
      <x:c r="C120" s="22" t="n">
        <x:v>49.99</x:v>
      </x:c>
      <x:c r="D120" s="22" t="str"/>
      <x:c r="E120" s="22"/>
      <x:c r="F120" s="25" t="n">
        <x:v>4</x:v>
      </x:c>
      <x:c r="G120" s="22" t="n">
        <x:v>62.5</x:v>
      </x:c>
      <x:c r="H120" s="22" t="n">
        <x:v>3.66</x:v>
      </x:c>
      <x:c r="I120" s="22" t="n">
        <x:v>10.285513500859857</x:v>
      </x:c>
      <x:c r="J120" s="22" t="n">
        <x:v>0</x:v>
      </x:c>
      <x:c r="K120" s="22" t="n">
        <x:f>IF(D120="原价调整",E120,IF(OR(E120="",E120=0),C120,C120*(1-E120)))</x:f>
        <x:v>49.99</x:v>
      </x:c>
      <x:c r="L120" s="22" t="n">
        <x:f>IFERROR(G120/$B$2,0)</x:f>
        <x:v>9.191176470588236</x:v>
      </x:c>
      <x:c r="M120" s="22" t="n">
        <x:f>L120*$D$2*$F$2</x:f>
        <x:v>0.4365808823529412</x:v>
      </x:c>
      <x:c r="N120" s="22" t="n">
        <x:f>IF(J120&gt;0,J120*$H$2,K120*$J$2)</x:f>
        <x:v>1.9996</x:v>
      </x:c>
      <x:c r="O120" s="22" t="n">
        <x:f>MAX(K120*$L$2,$N$2)</x:f>
        <x:v>7.4985</x:v>
      </x:c>
      <x:c r="P120" s="22" t="n">
        <x:f>K120-L120-H120-I120-M120-N120-O120</x:f>
        <x:v>16.918629146198967</x:v>
      </x:c>
      <x:c r="Q120" s="29" t="n">
        <x:f>IF(K120&gt;0,P120/K120,0)</x:f>
        <x:v>0.338440270978175</x:v>
      </x:c>
      <x:c r="R120" s="32" t="n">
        <x:f>ROUND(P120*F120,2)</x:f>
        <x:v>67.67</x:v>
      </x:c>
    </x:row>
    <x:row r="121">
      <x:c r="A121" s="19" t="str">
        <x:v>B0FXDR83WH</x:v>
      </x:c>
      <x:c r="B121" s="19" t="str">
        <x:v>PDN068-COFFEEBEIGE-6X9FT</x:v>
      </x:c>
      <x:c r="C121" s="22" t="n">
        <x:v>49.99</x:v>
      </x:c>
      <x:c r="D121" s="22" t="str"/>
      <x:c r="E121" s="22"/>
      <x:c r="F121" s="25" t="n">
        <x:v>2</x:v>
      </x:c>
      <x:c r="G121" s="22" t="n">
        <x:v>62.5</x:v>
      </x:c>
      <x:c r="H121" s="22" t="n">
        <x:v>3.66</x:v>
      </x:c>
      <x:c r="I121" s="22" t="n">
        <x:v>10.285513500859857</x:v>
      </x:c>
      <x:c r="J121" s="22" t="n">
        <x:v>0</x:v>
      </x:c>
      <x:c r="K121" s="22" t="n">
        <x:f>IF(D121="原价调整",E121,IF(OR(E121="",E121=0),C121,C121*(1-E121)))</x:f>
        <x:v>49.99</x:v>
      </x:c>
      <x:c r="L121" s="22" t="n">
        <x:f>IFERROR(G121/$B$2,0)</x:f>
        <x:v>9.191176470588236</x:v>
      </x:c>
      <x:c r="M121" s="22" t="n">
        <x:f>L121*$D$2*$F$2</x:f>
        <x:v>0.4365808823529412</x:v>
      </x:c>
      <x:c r="N121" s="22" t="n">
        <x:f>IF(J121&gt;0,J121*$H$2,K121*$J$2)</x:f>
        <x:v>1.9996</x:v>
      </x:c>
      <x:c r="O121" s="22" t="n">
        <x:f>MAX(K121*$L$2,$N$2)</x:f>
        <x:v>7.4985</x:v>
      </x:c>
      <x:c r="P121" s="22" t="n">
        <x:f>K121-L121-H121-I121-M121-N121-O121</x:f>
        <x:v>16.918629146198967</x:v>
      </x:c>
      <x:c r="Q121" s="29" t="n">
        <x:f>IF(K121&gt;0,P121/K121,0)</x:f>
        <x:v>0.338440270978175</x:v>
      </x:c>
      <x:c r="R121" s="32" t="n">
        <x:f>ROUND(P121*F121,2)</x:f>
        <x:v>33.84</x:v>
      </x:c>
    </x:row>
    <x:row r="122">
      <x:c r="A122" s="19" t="str">
        <x:v>B0G48QXFWB</x:v>
      </x:c>
      <x:c r="B122" s="19" t="str">
        <x:v>PDF078-BLACKBROWN-6X9FT</x:v>
      </x:c>
      <x:c r="C122" s="22" t="n">
        <x:v>49.99</x:v>
      </x:c>
      <x:c r="D122" s="22" t="str"/>
      <x:c r="E122" s="22"/>
      <x:c r="F122" s="25" t="n">
        <x:v>0</x:v>
      </x:c>
      <x:c r="G122" s="22" t="n">
        <x:v>62.5</x:v>
      </x:c>
      <x:c r="H122" s="22" t="n">
        <x:v>3.66</x:v>
      </x:c>
      <x:c r="I122" s="22" t="n">
        <x:v>10.285513500859857</x:v>
      </x:c>
      <x:c r="J122" s="22" t="n">
        <x:v>0</x:v>
      </x:c>
      <x:c r="K122" s="22" t="n">
        <x:f>IF(D122="原价调整",E122,IF(OR(E122="",E122=0),C122,C122*(1-E122)))</x:f>
        <x:v>49.99</x:v>
      </x:c>
      <x:c r="L122" s="22" t="n">
        <x:f>IFERROR(G122/$B$2,0)</x:f>
        <x:v>9.191176470588236</x:v>
      </x:c>
      <x:c r="M122" s="22" t="n">
        <x:f>L122*$D$2*$F$2</x:f>
        <x:v>0.4365808823529412</x:v>
      </x:c>
      <x:c r="N122" s="22" t="n">
        <x:f>IF(J122&gt;0,J122*$H$2,K122*$J$2)</x:f>
        <x:v>1.9996</x:v>
      </x:c>
      <x:c r="O122" s="22" t="n">
        <x:f>MAX(K122*$L$2,$N$2)</x:f>
        <x:v>7.4985</x:v>
      </x:c>
      <x:c r="P122" s="22" t="n">
        <x:f>K122-L122-H122-I122-M122-N122-O122</x:f>
        <x:v>16.918629146198967</x:v>
      </x:c>
      <x:c r="Q122" s="29" t="n">
        <x:f>IF(K122&gt;0,P122/K122,0)</x:f>
        <x:v>0.338440270978175</x:v>
      </x:c>
      <x:c r="R122" s="32" t="n">
        <x:f>ROUND(P122*F122,2)</x:f>
        <x:v>0</x:v>
      </x:c>
    </x:row>
    <x:row r="123">
      <x:c r="A123" s="19" t="str">
        <x:v>B0DK2RLY4B</x:v>
      </x:c>
      <x:c r="B123" s="19" t="str">
        <x:v>PD54-BLUEWHITE-6X9FT</x:v>
      </x:c>
      <x:c r="C123" s="22" t="n">
        <x:v>49.99</x:v>
      </x:c>
      <x:c r="D123" s="22" t="str"/>
      <x:c r="E123" s="22"/>
      <x:c r="F123" s="25" t="n">
        <x:v>0</x:v>
      </x:c>
      <x:c r="G123" s="22" t="n">
        <x:v>62.5</x:v>
      </x:c>
      <x:c r="H123" s="22" t="n">
        <x:v>3.66</x:v>
      </x:c>
      <x:c r="I123" s="22" t="n">
        <x:v>10.285513500859857</x:v>
      </x:c>
      <x:c r="J123" s="22" t="n">
        <x:v>0</x:v>
      </x:c>
      <x:c r="K123" s="22" t="n">
        <x:f>IF(D123="原价调整",E123,IF(OR(E123="",E123=0),C123,C123*(1-E123)))</x:f>
        <x:v>49.99</x:v>
      </x:c>
      <x:c r="L123" s="22" t="n">
        <x:f>IFERROR(G123/$B$2,0)</x:f>
        <x:v>9.191176470588236</x:v>
      </x:c>
      <x:c r="M123" s="22" t="n">
        <x:f>L123*$D$2*$F$2</x:f>
        <x:v>0.4365808823529412</x:v>
      </x:c>
      <x:c r="N123" s="22" t="n">
        <x:f>IF(J123&gt;0,J123*$H$2,K123*$J$2)</x:f>
        <x:v>1.9996</x:v>
      </x:c>
      <x:c r="O123" s="22" t="n">
        <x:f>MAX(K123*$L$2,$N$2)</x:f>
        <x:v>7.4985</x:v>
      </x:c>
      <x:c r="P123" s="22" t="n">
        <x:f>K123-L123-H123-I123-M123-N123-O123</x:f>
        <x:v>16.918629146198967</x:v>
      </x:c>
      <x:c r="Q123" s="29" t="n">
        <x:f>IF(K123&gt;0,P123/K123,0)</x:f>
        <x:v>0.338440270978175</x:v>
      </x:c>
      <x:c r="R123" s="32" t="n">
        <x:f>ROUND(P123*F123,2)</x:f>
        <x:v>0</x:v>
      </x:c>
    </x:row>
    <x:row r="124">
      <x:c r="A124" s="19" t="str">
        <x:v>B0DK2S7MK1</x:v>
      </x:c>
      <x:c r="B124" s="19" t="str">
        <x:v>PD54-BLACKBROWN-6X9FT</x:v>
      </x:c>
      <x:c r="C124" s="22" t="n">
        <x:v>49.99</x:v>
      </x:c>
      <x:c r="D124" s="22" t="str"/>
      <x:c r="E124" s="22"/>
      <x:c r="F124" s="25" t="n">
        <x:v>3</x:v>
      </x:c>
      <x:c r="G124" s="22" t="n">
        <x:v>62.5</x:v>
      </x:c>
      <x:c r="H124" s="22" t="n">
        <x:v>3.66</x:v>
      </x:c>
      <x:c r="I124" s="22" t="n">
        <x:v>10.285513500859857</x:v>
      </x:c>
      <x:c r="J124" s="22" t="n">
        <x:v>0</x:v>
      </x:c>
      <x:c r="K124" s="22" t="n">
        <x:f>IF(D124="原价调整",E124,IF(OR(E124="",E124=0),C124,C124*(1-E124)))</x:f>
        <x:v>49.99</x:v>
      </x:c>
      <x:c r="L124" s="22" t="n">
        <x:f>IFERROR(G124/$B$2,0)</x:f>
        <x:v>9.191176470588236</x:v>
      </x:c>
      <x:c r="M124" s="22" t="n">
        <x:f>L124*$D$2*$F$2</x:f>
        <x:v>0.4365808823529412</x:v>
      </x:c>
      <x:c r="N124" s="22" t="n">
        <x:f>IF(J124&gt;0,J124*$H$2,K124*$J$2)</x:f>
        <x:v>1.9996</x:v>
      </x:c>
      <x:c r="O124" s="22" t="n">
        <x:f>MAX(K124*$L$2,$N$2)</x:f>
        <x:v>7.4985</x:v>
      </x:c>
      <x:c r="P124" s="22" t="n">
        <x:f>K124-L124-H124-I124-M124-N124-O124</x:f>
        <x:v>16.918629146198967</x:v>
      </x:c>
      <x:c r="Q124" s="29" t="n">
        <x:f>IF(K124&gt;0,P124/K124,0)</x:f>
        <x:v>0.338440270978175</x:v>
      </x:c>
      <x:c r="R124" s="32" t="n">
        <x:f>ROUND(P124*F124,2)</x:f>
        <x:v>50.76</x:v>
      </x:c>
    </x:row>
    <x:row r="125">
      <x:c r="A125" s="19" t="str">
        <x:v>B0DK2R6RCL</x:v>
      </x:c>
      <x:c r="B125" s="19" t="str">
        <x:v>PD54-BLACKBROWN-8X10FT</x:v>
      </x:c>
      <x:c r="C125" s="22" t="n">
        <x:v>79.99</x:v>
      </x:c>
      <x:c r="D125" s="22" t="str"/>
      <x:c r="E125" s="22"/>
      <x:c r="F125" s="25" t="n">
        <x:v>2</x:v>
      </x:c>
      <x:c r="G125" s="22" t="n">
        <x:v>89</x:v>
      </x:c>
      <x:c r="H125" s="22" t="n">
        <x:v>5.4</x:v>
      </x:c>
      <x:c r="I125" s="22" t="n">
        <x:v>12.194666387117124</x:v>
      </x:c>
      <x:c r="J125" s="22" t="n">
        <x:v>0</x:v>
      </x:c>
      <x:c r="K125" s="22" t="n">
        <x:f>IF(D125="原价调整",E125,IF(OR(E125="",E125=0),C125,C125*(1-E125)))</x:f>
        <x:v>79.99</x:v>
      </x:c>
      <x:c r="L125" s="22" t="n">
        <x:f>IFERROR(G125/$B$2,0)</x:f>
        <x:v>13.088235294117647</x:v>
      </x:c>
      <x:c r="M125" s="22" t="n">
        <x:f>L125*$D$2*$F$2</x:f>
        <x:v>0.6216911764705882</x:v>
      </x:c>
      <x:c r="N125" s="22" t="n">
        <x:f>IF(J125&gt;0,J125*$H$2,K125*$J$2)</x:f>
        <x:v>3.1995999999999998</x:v>
      </x:c>
      <x:c r="O125" s="22" t="n">
        <x:f>MAX(K125*$L$2,$N$2)</x:f>
        <x:v>11.998499999999998</x:v>
      </x:c>
      <x:c r="P125" s="22" t="n">
        <x:f>K125-L125-H125-I125-M125-N125-O125</x:f>
        <x:v>33.48730714229463</x:v>
      </x:c>
      <x:c r="Q125" s="29" t="n">
        <x:f>IF(K125&gt;0,P125/K125,0)</x:f>
        <x:v>0.4186436697374001</x:v>
      </x:c>
      <x:c r="R125" s="32" t="n">
        <x:f>ROUND(P125*F125,2)</x:f>
        <x:v>66.97</x:v>
      </x:c>
    </x:row>
    <x:row r="126">
      <x:c r="A126" s="19" t="str">
        <x:v>B0DK2TXNXG</x:v>
      </x:c>
      <x:c r="B126" s="19" t="str">
        <x:v>PD54-BLACKBROWN-9X12FT</x:v>
      </x:c>
      <x:c r="C126" s="22" t="n">
        <x:v>89.99</x:v>
      </x:c>
      <x:c r="D126" s="22" t="str"/>
      <x:c r="E126" s="22"/>
      <x:c r="F126" s="25" t="n">
        <x:v>2</x:v>
      </x:c>
      <x:c r="G126" s="22" t="n">
        <x:v>109</x:v>
      </x:c>
      <x:c r="H126" s="22" t="n">
        <x:v>7.22</x:v>
      </x:c>
      <x:c r="I126" s="22" t="n">
        <x:v>19.412041751500432</x:v>
      </x:c>
      <x:c r="J126" s="22" t="n">
        <x:v>0</x:v>
      </x:c>
      <x:c r="K126" s="22" t="n">
        <x:f>IF(D126="原价调整",E126,IF(OR(E126="",E126=0),C126,C126*(1-E126)))</x:f>
        <x:v>89.99</x:v>
      </x:c>
      <x:c r="L126" s="22" t="n">
        <x:f>IFERROR(G126/$B$2,0)</x:f>
        <x:v>16.029411764705884</x:v>
      </x:c>
      <x:c r="M126" s="22" t="n">
        <x:f>L126*$D$2*$F$2</x:f>
        <x:v>0.7613970588235295</x:v>
      </x:c>
      <x:c r="N126" s="22" t="n">
        <x:f>IF(J126&gt;0,J126*$H$2,K126*$J$2)</x:f>
        <x:v>3.5995999999999997</x:v>
      </x:c>
      <x:c r="O126" s="22" t="n">
        <x:f>MAX(K126*$L$2,$N$2)</x:f>
        <x:v>13.498499999999998</x:v>
      </x:c>
      <x:c r="P126" s="22" t="n">
        <x:f>K126-L126-H126-I126-M126-N126-O126</x:f>
        <x:v>29.46904942497015</x:v>
      </x:c>
      <x:c r="Q126" s="29" t="n">
        <x:f>IF(K126&gt;0,P126/K126,0)</x:f>
        <x:v>0.3274702680850112</x:v>
      </x:c>
      <x:c r="R126" s="32" t="n">
        <x:f>ROUND(P126*F126,2)</x:f>
        <x:v>58.94</x:v>
      </x:c>
    </x:row>
    <x:row r="127">
      <x:c r="A127" s="19" t="str">
        <x:v>B0GQLR5SG6</x:v>
      </x:c>
      <x:c r="B127" s="19" t="str">
        <x:v>PDF80-YELLOWGREEN-6X9FT</x:v>
      </x:c>
      <x:c r="C127" s="22" t="n">
        <x:v>49.99</x:v>
      </x:c>
      <x:c r="D127" s="22" t="str">
        <x:v>价格折扣</x:v>
      </x:c>
      <x:c r="E127" s="22" t="n">
        <x:v>0.3</x:v>
      </x:c>
      <x:c r="F127" s="25" t="n">
        <x:v>2</x:v>
      </x:c>
      <x:c r="G127" s="22" t="n">
        <x:v>62.5</x:v>
      </x:c>
      <x:c r="H127" s="22" t="n">
        <x:v>3.66</x:v>
      </x:c>
      <x:c r="I127" s="22" t="n">
        <x:v>10.285513500859857</x:v>
      </x:c>
      <x:c r="J127" s="22" t="n">
        <x:v>0</x:v>
      </x:c>
      <x:c r="K127" s="22" t="n">
        <x:f>IF(D127="原价调整",E127,IF(OR(E127="",E127=0),C127,C127*(1-E127)))</x:f>
        <x:v>34.993</x:v>
      </x:c>
      <x:c r="L127" s="22" t="n">
        <x:f>IFERROR(G127/$B$2,0)</x:f>
        <x:v>9.191176470588236</x:v>
      </x:c>
      <x:c r="M127" s="22" t="n">
        <x:f>L127*$D$2*$F$2</x:f>
        <x:v>0.4365808823529412</x:v>
      </x:c>
      <x:c r="N127" s="22" t="n">
        <x:f>IF(J127&gt;0,J127*$H$2,K127*$J$2)</x:f>
        <x:v>1.39972</x:v>
      </x:c>
      <x:c r="O127" s="22" t="n">
        <x:f>MAX(K127*$L$2,$N$2)</x:f>
        <x:v>5.24895</x:v>
      </x:c>
      <x:c r="P127" s="22" t="n">
        <x:f>K127-L127-H127-I127-M127-N127-O127</x:f>
        <x:v>4.771059146198968</x:v>
      </x:c>
      <x:c r="Q127" s="29" t="n">
        <x:f>IF(K127&gt;0,P127/K127,0)</x:f>
        <x:v>0.1363432442545357</x:v>
      </x:c>
      <x:c r="R127" s="32" t="n">
        <x:f>ROUND(P127*F127,2)</x:f>
        <x:v>9.54</x:v>
      </x:c>
    </x:row>
    <x:row r="128">
      <x:c r="A128" s="19" t="str">
        <x:v>B0GQL8WJZZ</x:v>
      </x:c>
      <x:c r="B128" s="19" t="str">
        <x:v>PD17-YELLOWGREEN-6X9FT</x:v>
      </x:c>
      <x:c r="C128" s="22" t="n">
        <x:v>49.99</x:v>
      </x:c>
      <x:c r="D128" s="22" t="str">
        <x:v>价格折扣</x:v>
      </x:c>
      <x:c r="E128" s="22" t="n">
        <x:v>0.25</x:v>
      </x:c>
      <x:c r="F128" s="25" t="n">
        <x:v>4</x:v>
      </x:c>
      <x:c r="G128" s="22" t="n">
        <x:v>62.5</x:v>
      </x:c>
      <x:c r="H128" s="22" t="n">
        <x:v>3.66</x:v>
      </x:c>
      <x:c r="I128" s="22" t="n">
        <x:v>10.285513500859857</x:v>
      </x:c>
      <x:c r="J128" s="22" t="n">
        <x:v>0</x:v>
      </x:c>
      <x:c r="K128" s="22" t="n">
        <x:f>IF(D128="原价调整",E128,IF(OR(E128="",E128=0),C128,C128*(1-E128)))</x:f>
        <x:v>37.4925</x:v>
      </x:c>
      <x:c r="L128" s="22" t="n">
        <x:f>IFERROR(G128/$B$2,0)</x:f>
        <x:v>9.191176470588236</x:v>
      </x:c>
      <x:c r="M128" s="22" t="n">
        <x:f>L128*$D$2*$F$2</x:f>
        <x:v>0.4365808823529412</x:v>
      </x:c>
      <x:c r="N128" s="22" t="n">
        <x:f>IF(J128&gt;0,J128*$H$2,K128*$J$2)</x:f>
        <x:v>1.4997</x:v>
      </x:c>
      <x:c r="O128" s="22" t="n">
        <x:f>MAX(K128*$L$2,$N$2)</x:f>
        <x:v>5.623875</x:v>
      </x:c>
      <x:c r="P128" s="22" t="n">
        <x:f>K128-L128-H128-I128-M128-N128-O128</x:f>
        <x:v>6.795654146198965</x:v>
      </x:c>
      <x:c r="Q128" s="29" t="n">
        <x:f>IF(K128&gt;0,P128/K128,0)</x:f>
        <x:v>0.18125369463756658</x:v>
      </x:c>
      <x:c r="R128" s="32" t="n">
        <x:f>ROUND(P128*F128,2)</x:f>
        <x:v>27.18</x:v>
      </x:c>
    </x:row>
    <x:row r="129">
      <x:c r="A129" s="19" t="str">
        <x:v>B0GQLRH7QR</x:v>
      </x:c>
      <x:c r="B129" s="19" t="str">
        <x:v>PDF80-BLUEGREEN-6X9FT</x:v>
      </x:c>
      <x:c r="C129" s="22" t="n">
        <x:v>49.99</x:v>
      </x:c>
      <x:c r="D129" s="22" t="str">
        <x:v>价格折扣</x:v>
      </x:c>
      <x:c r="E129" s="22" t="n">
        <x:v>0.1</x:v>
      </x:c>
      <x:c r="F129" s="25" t="n">
        <x:v>1</x:v>
      </x:c>
      <x:c r="G129" s="22" t="n">
        <x:v>62.5</x:v>
      </x:c>
      <x:c r="H129" s="22" t="n">
        <x:v>3.66</x:v>
      </x:c>
      <x:c r="I129" s="22" t="n">
        <x:v>10.285513500859857</x:v>
      </x:c>
      <x:c r="J129" s="22" t="n">
        <x:v>0</x:v>
      </x:c>
      <x:c r="K129" s="22" t="n">
        <x:f>IF(D129="原价调整",E129,IF(OR(E129="",E129=0),C129,C129*(1-E129)))</x:f>
        <x:v>44.991</x:v>
      </x:c>
      <x:c r="L129" s="22" t="n">
        <x:f>IFERROR(G129/$B$2,0)</x:f>
        <x:v>9.191176470588236</x:v>
      </x:c>
      <x:c r="M129" s="22" t="n">
        <x:f>L129*$D$2*$F$2</x:f>
        <x:v>0.4365808823529412</x:v>
      </x:c>
      <x:c r="N129" s="22" t="n">
        <x:f>IF(J129&gt;0,J129*$H$2,K129*$J$2)</x:f>
        <x:v>1.7996400000000001</x:v>
      </x:c>
      <x:c r="O129" s="22" t="n">
        <x:f>MAX(K129*$L$2,$N$2)</x:f>
        <x:v>6.74865</x:v>
      </x:c>
      <x:c r="P129" s="22" t="n">
        <x:f>K129-L129-H129-I129-M129-N129-O129</x:f>
        <x:v>12.869439146198973</x:v>
      </x:c>
      <x:c r="Q129" s="29" t="n">
        <x:f>IF(K129&gt;0,P129/K129,0)</x:f>
        <x:v>0.28604474553130566</x:v>
      </x:c>
      <x:c r="R129" s="32" t="n">
        <x:f>ROUND(P129*F129,2)</x:f>
        <x:v>12.87</x:v>
      </x:c>
    </x:row>
    <x:row r="130">
      <x:c r="A130" s="19" t="str">
        <x:v>B0GQLLPVXQ</x:v>
      </x:c>
      <x:c r="B130" s="19" t="str">
        <x:v>PD17-ORANGEWHITE-6X9FT</x:v>
      </x:c>
      <x:c r="C130" s="22" t="n">
        <x:v>49.99</x:v>
      </x:c>
      <x:c r="D130" s="22" t="str">
        <x:v>价格折扣</x:v>
      </x:c>
      <x:c r="E130" s="22" t="n">
        <x:v>0.2</x:v>
      </x:c>
      <x:c r="F130" s="25" t="n">
        <x:v>2</x:v>
      </x:c>
      <x:c r="G130" s="22" t="n">
        <x:v>62.5</x:v>
      </x:c>
      <x:c r="H130" s="22" t="n">
        <x:v>3.66</x:v>
      </x:c>
      <x:c r="I130" s="22" t="n">
        <x:v>10.285513500859857</x:v>
      </x:c>
      <x:c r="J130" s="22" t="n">
        <x:v>0</x:v>
      </x:c>
      <x:c r="K130" s="22" t="n">
        <x:f>IF(D130="原价调整",E130,IF(OR(E130="",E130=0),C130,C130*(1-E130)))</x:f>
        <x:v>39.992000000000004</x:v>
      </x:c>
      <x:c r="L130" s="22" t="n">
        <x:f>IFERROR(G130/$B$2,0)</x:f>
        <x:v>9.191176470588236</x:v>
      </x:c>
      <x:c r="M130" s="22" t="n">
        <x:f>L130*$D$2*$F$2</x:f>
        <x:v>0.4365808823529412</x:v>
      </x:c>
      <x:c r="N130" s="22" t="n">
        <x:f>IF(J130&gt;0,J130*$H$2,K130*$J$2)</x:f>
        <x:v>1.5996800000000002</x:v>
      </x:c>
      <x:c r="O130" s="22" t="n">
        <x:f>MAX(K130*$L$2,$N$2)</x:f>
        <x:v>5.9988</x:v>
      </x:c>
      <x:c r="P130" s="22" t="n">
        <x:f>K130-L130-H130-I130-M130-N130-O130</x:f>
        <x:v>8.820249146198972</x:v>
      </x:c>
      <x:c r="Q130" s="29" t="n">
        <x:f>IF(K130&gt;0,P130/K130,0)</x:f>
        <x:v>0.22055033872271881</x:v>
      </x:c>
      <x:c r="R130" s="32" t="n">
        <x:f>ROUND(P130*F130,2)</x:f>
        <x:v>17.64</x:v>
      </x:c>
    </x:row>
    <x:row r="131">
      <x:c r="A131" s="19" t="str">
        <x:v>B0GQLKHQ1Q</x:v>
      </x:c>
      <x:c r="B131" s="19" t="str">
        <x:v>PD17-ORANGEBLACK-6X9FT</x:v>
      </x:c>
      <x:c r="C131" s="22" t="n">
        <x:v>49.99</x:v>
      </x:c>
      <x:c r="D131" s="22" t="str">
        <x:v>价格折扣</x:v>
      </x:c>
      <x:c r="E131" s="22" t="n">
        <x:v>0.2</x:v>
      </x:c>
      <x:c r="F131" s="25" t="n">
        <x:v>1</x:v>
      </x:c>
      <x:c r="G131" s="22" t="n">
        <x:v>62.5</x:v>
      </x:c>
      <x:c r="H131" s="22" t="n">
        <x:v>3.66</x:v>
      </x:c>
      <x:c r="I131" s="22" t="n">
        <x:v>10.285513500859857</x:v>
      </x:c>
      <x:c r="J131" s="22" t="n">
        <x:v>0</x:v>
      </x:c>
      <x:c r="K131" s="22" t="n">
        <x:f>IF(D131="原价调整",E131,IF(OR(E131="",E131=0),C131,C131*(1-E131)))</x:f>
        <x:v>39.992000000000004</x:v>
      </x:c>
      <x:c r="L131" s="22" t="n">
        <x:f>IFERROR(G131/$B$2,0)</x:f>
        <x:v>9.191176470588236</x:v>
      </x:c>
      <x:c r="M131" s="22" t="n">
        <x:f>L131*$D$2*$F$2</x:f>
        <x:v>0.4365808823529412</x:v>
      </x:c>
      <x:c r="N131" s="22" t="n">
        <x:f>IF(J131&gt;0,J131*$H$2,K131*$J$2)</x:f>
        <x:v>1.5996800000000002</x:v>
      </x:c>
      <x:c r="O131" s="22" t="n">
        <x:f>MAX(K131*$L$2,$N$2)</x:f>
        <x:v>5.9988</x:v>
      </x:c>
      <x:c r="P131" s="22" t="n">
        <x:f>K131-L131-H131-I131-M131-N131-O131</x:f>
        <x:v>8.820249146198972</x:v>
      </x:c>
      <x:c r="Q131" s="29" t="n">
        <x:f>IF(K131&gt;0,P131/K131,0)</x:f>
        <x:v>0.22055033872271881</x:v>
      </x:c>
      <x:c r="R131" s="32" t="n">
        <x:f>ROUND(P131*F131,2)</x:f>
        <x:v>8.82</x:v>
      </x:c>
    </x:row>
    <x:row r="132">
      <x:c r="A132" s="19" t="str">
        <x:v>B0GQL8BPJR</x:v>
      </x:c>
      <x:c r="B132" s="19" t="str">
        <x:v>PDF80-YELLOWBLUE-6X9FT</x:v>
      </x:c>
      <x:c r="C132" s="22" t="n">
        <x:v>49.99</x:v>
      </x:c>
      <x:c r="D132" s="22" t="str">
        <x:v>价格折扣</x:v>
      </x:c>
      <x:c r="E132" s="22" t="n">
        <x:v>0.3</x:v>
      </x:c>
      <x:c r="F132" s="25" t="n">
        <x:v>0</x:v>
      </x:c>
      <x:c r="G132" s="22" t="n">
        <x:v>62.5</x:v>
      </x:c>
      <x:c r="H132" s="22" t="n">
        <x:v>3.66</x:v>
      </x:c>
      <x:c r="I132" s="22" t="n">
        <x:v>10.285513500859857</x:v>
      </x:c>
      <x:c r="J132" s="22" t="n">
        <x:v>0</x:v>
      </x:c>
      <x:c r="K132" s="22" t="n">
        <x:f>IF(D132="原价调整",E132,IF(OR(E132="",E132=0),C132,C132*(1-E132)))</x:f>
        <x:v>34.993</x:v>
      </x:c>
      <x:c r="L132" s="22" t="n">
        <x:f>IFERROR(G132/$B$2,0)</x:f>
        <x:v>9.191176470588236</x:v>
      </x:c>
      <x:c r="M132" s="22" t="n">
        <x:f>L132*$D$2*$F$2</x:f>
        <x:v>0.4365808823529412</x:v>
      </x:c>
      <x:c r="N132" s="22" t="n">
        <x:f>IF(J132&gt;0,J132*$H$2,K132*$J$2)</x:f>
        <x:v>1.39972</x:v>
      </x:c>
      <x:c r="O132" s="22" t="n">
        <x:f>MAX(K132*$L$2,$N$2)</x:f>
        <x:v>5.24895</x:v>
      </x:c>
      <x:c r="P132" s="22" t="n">
        <x:f>K132-L132-H132-I132-M132-N132-O132</x:f>
        <x:v>4.771059146198968</x:v>
      </x:c>
      <x:c r="Q132" s="29" t="n">
        <x:f>IF(K132&gt;0,P132/K132,0)</x:f>
        <x:v>0.1363432442545357</x:v>
      </x:c>
      <x:c r="R132" s="32" t="n">
        <x:f>ROUND(P132*F132,2)</x:f>
        <x:v>0</x:v>
      </x:c>
    </x:row>
    <x:row r="133">
      <x:c r="A133" s="19" t="str">
        <x:v>B0GQLQ3XC8</x:v>
      </x:c>
      <x:c r="B133" s="19" t="str">
        <x:v>PD17-YELLOWBLUE-6X9FT</x:v>
      </x:c>
      <x:c r="C133" s="22" t="n">
        <x:v>49.99</x:v>
      </x:c>
      <x:c r="D133" s="22" t="str">
        <x:v>价格折扣</x:v>
      </x:c>
      <x:c r="E133" s="22" t="n">
        <x:v>0.3</x:v>
      </x:c>
      <x:c r="F133" s="25" t="n">
        <x:v>3</x:v>
      </x:c>
      <x:c r="G133" s="22" t="n">
        <x:v>62.5</x:v>
      </x:c>
      <x:c r="H133" s="22" t="n">
        <x:v>3.66</x:v>
      </x:c>
      <x:c r="I133" s="22" t="n">
        <x:v>10.285513500859857</x:v>
      </x:c>
      <x:c r="J133" s="22" t="n">
        <x:v>0</x:v>
      </x:c>
      <x:c r="K133" s="22" t="n">
        <x:f>IF(D133="原价调整",E133,IF(OR(E133="",E133=0),C133,C133*(1-E133)))</x:f>
        <x:v>34.993</x:v>
      </x:c>
      <x:c r="L133" s="22" t="n">
        <x:f>IFERROR(G133/$B$2,0)</x:f>
        <x:v>9.191176470588236</x:v>
      </x:c>
      <x:c r="M133" s="22" t="n">
        <x:f>L133*$D$2*$F$2</x:f>
        <x:v>0.4365808823529412</x:v>
      </x:c>
      <x:c r="N133" s="22" t="n">
        <x:f>IF(J133&gt;0,J133*$H$2,K133*$J$2)</x:f>
        <x:v>1.39972</x:v>
      </x:c>
      <x:c r="O133" s="22" t="n">
        <x:f>MAX(K133*$L$2,$N$2)</x:f>
        <x:v>5.24895</x:v>
      </x:c>
      <x:c r="P133" s="22" t="n">
        <x:f>K133-L133-H133-I133-M133-N133-O133</x:f>
        <x:v>4.771059146198968</x:v>
      </x:c>
      <x:c r="Q133" s="29" t="n">
        <x:f>IF(K133&gt;0,P133/K133,0)</x:f>
        <x:v>0.1363432442545357</x:v>
      </x:c>
      <x:c r="R133" s="32" t="n">
        <x:f>ROUND(P133*F133,2)</x:f>
        <x:v>14.31</x:v>
      </x:c>
    </x:row>
    <x:row r="134">
      <x:c r="A134" s="19" t="str">
        <x:v>B0GQLGVKLL</x:v>
      </x:c>
      <x:c r="B134" s="19" t="str">
        <x:v>PDF82-BLUEWHITE-6x9FT</x:v>
      </x:c>
      <x:c r="C134" s="22" t="n">
        <x:v>49.99</x:v>
      </x:c>
      <x:c r="D134" s="22" t="str"/>
      <x:c r="E134" s="22"/>
      <x:c r="F134" s="25" t="n">
        <x:v>0</x:v>
      </x:c>
      <x:c r="G134" s="22" t="n">
        <x:v>62.5</x:v>
      </x:c>
      <x:c r="H134" s="22" t="n">
        <x:v>3.66</x:v>
      </x:c>
      <x:c r="I134" s="22" t="n">
        <x:v>10.285513500859857</x:v>
      </x:c>
      <x:c r="J134" s="22" t="n">
        <x:v>0</x:v>
      </x:c>
      <x:c r="K134" s="22" t="n">
        <x:f>IF(D134="原价调整",E134,IF(OR(E134="",E134=0),C134,C134*(1-E134)))</x:f>
        <x:v>49.99</x:v>
      </x:c>
      <x:c r="L134" s="22" t="n">
        <x:f>IFERROR(G134/$B$2,0)</x:f>
        <x:v>9.191176470588236</x:v>
      </x:c>
      <x:c r="M134" s="22" t="n">
        <x:f>L134*$D$2*$F$2</x:f>
        <x:v>0.4365808823529412</x:v>
      </x:c>
      <x:c r="N134" s="22" t="n">
        <x:f>IF(J134&gt;0,J134*$H$2,K134*$J$2)</x:f>
        <x:v>1.9996</x:v>
      </x:c>
      <x:c r="O134" s="22" t="n">
        <x:f>MAX(K134*$L$2,$N$2)</x:f>
        <x:v>7.4985</x:v>
      </x:c>
      <x:c r="P134" s="22" t="n">
        <x:f>K134-L134-H134-I134-M134-N134-O134</x:f>
        <x:v>16.918629146198967</x:v>
      </x:c>
      <x:c r="Q134" s="29" t="n">
        <x:f>IF(K134&gt;0,P134/K134,0)</x:f>
        <x:v>0.338440270978175</x:v>
      </x:c>
      <x:c r="R134" s="32" t="n">
        <x:f>ROUND(P134*F134,2)</x:f>
        <x:v>0</x:v>
      </x:c>
    </x:row>
    <x:row r="135">
      <x:c r="A135" s="19" t="str">
        <x:v>B0GQLP1JQJ</x:v>
      </x:c>
      <x:c r="B135" s="19" t="str">
        <x:v>PDF83-BLUEWHITE-6x9FT</x:v>
      </x:c>
      <x:c r="C135" s="22" t="n">
        <x:v>49.99</x:v>
      </x:c>
      <x:c r="D135" s="22" t="str"/>
      <x:c r="E135" s="22"/>
      <x:c r="F135" s="25" t="n">
        <x:v>1</x:v>
      </x:c>
      <x:c r="G135" s="22" t="n">
        <x:v>62.5</x:v>
      </x:c>
      <x:c r="H135" s="22" t="n">
        <x:v>3.66</x:v>
      </x:c>
      <x:c r="I135" s="22" t="n">
        <x:v>10.285513500859857</x:v>
      </x:c>
      <x:c r="J135" s="22" t="n">
        <x:v>0</x:v>
      </x:c>
      <x:c r="K135" s="22" t="n">
        <x:f>IF(D135="原价调整",E135,IF(OR(E135="",E135=0),C135,C135*(1-E135)))</x:f>
        <x:v>49.99</x:v>
      </x:c>
      <x:c r="L135" s="22" t="n">
        <x:f>IFERROR(G135/$B$2,0)</x:f>
        <x:v>9.191176470588236</x:v>
      </x:c>
      <x:c r="M135" s="22" t="n">
        <x:f>L135*$D$2*$F$2</x:f>
        <x:v>0.4365808823529412</x:v>
      </x:c>
      <x:c r="N135" s="22" t="n">
        <x:f>IF(J135&gt;0,J135*$H$2,K135*$J$2)</x:f>
        <x:v>1.9996</x:v>
      </x:c>
      <x:c r="O135" s="22" t="n">
        <x:f>MAX(K135*$L$2,$N$2)</x:f>
        <x:v>7.4985</x:v>
      </x:c>
      <x:c r="P135" s="22" t="n">
        <x:f>K135-L135-H135-I135-M135-N135-O135</x:f>
        <x:v>16.918629146198967</x:v>
      </x:c>
      <x:c r="Q135" s="29" t="n">
        <x:f>IF(K135&gt;0,P135/K135,0)</x:f>
        <x:v>0.338440270978175</x:v>
      </x:c>
      <x:c r="R135" s="32" t="n">
        <x:f>ROUND(P135*F135,2)</x:f>
        <x:v>16.92</x:v>
      </x:c>
    </x:row>
    <x:row r="136">
      <x:c r="A136" s="19" t="str">
        <x:v>B0GWMHX1Z4</x:v>
      </x:c>
      <x:c r="B136" s="19" t="str">
        <x:v>PD17-MOTTLEDCOFFEEBEIGE-6X9FT</x:v>
      </x:c>
      <x:c r="C136" s="22" t="n">
        <x:v>49.99</x:v>
      </x:c>
      <x:c r="D136" s="22" t="str">
        <x:v>价格折扣</x:v>
      </x:c>
      <x:c r="E136" s="22" t="n">
        <x:v>0.15</x:v>
      </x:c>
      <x:c r="F136" s="25" t="n">
        <x:v>5</x:v>
      </x:c>
      <x:c r="G136" s="22" t="n">
        <x:v>102</x:v>
      </x:c>
      <x:c r="H136" s="22" t="n">
        <x:v>4</x:v>
      </x:c>
      <x:c r="I136" s="22" t="n">
        <x:v>10.286793500859856</x:v>
      </x:c>
      <x:c r="J136" s="22" t="n">
        <x:v>0</x:v>
      </x:c>
      <x:c r="K136" s="22" t="n">
        <x:f>IF(D136="原价调整",E136,IF(OR(E136="",E136=0),C136,C136*(1-E136)))</x:f>
        <x:v>42.4915</x:v>
      </x:c>
      <x:c r="L136" s="22" t="n">
        <x:f>IFERROR(G136/$B$2,0)</x:f>
        <x:v>15</x:v>
      </x:c>
      <x:c r="M136" s="22" t="n">
        <x:f>L136*$D$2*$F$2</x:f>
        <x:v>0.7125</x:v>
      </x:c>
      <x:c r="N136" s="22" t="n">
        <x:f>IF(J136&gt;0,J136*$H$2,K136*$J$2)</x:f>
        <x:v>1.6996600000000002</x:v>
      </x:c>
      <x:c r="O136" s="22" t="n">
        <x:f>MAX(K136*$L$2,$N$2)</x:f>
        <x:v>6.373725</x:v>
      </x:c>
      <x:c r="P136" s="22" t="n">
        <x:f>K136-L136-H136-I136-M136-N136-O136</x:f>
        <x:v>4.4188214991401455</x:v>
      </x:c>
      <x:c r="Q136" s="29" t="n">
        <x:f>IF(K136&gt;0,P136/K136,0)</x:f>
        <x:v>0.10399306918183979</x:v>
      </x:c>
      <x:c r="R136" s="32" t="n">
        <x:f>ROUND(P136*F136,2)</x:f>
        <x:v>22.09</x:v>
      </x:c>
    </x:row>
    <x:row r="137">
      <x:c r="A137" s="20" t="str">
        <x:v>B0GWMBHVWT</x:v>
      </x:c>
      <x:c r="B137" s="20" t="str">
        <x:v>PD17-REDBLACK-6X9FT</x:v>
      </x:c>
      <x:c r="C137" s="23" t="n">
        <x:v>49.99</x:v>
      </x:c>
      <x:c r="D137" s="23" t="str"/>
      <x:c r="E137" s="23"/>
      <x:c r="F137" s="26" t="n">
        <x:v>0</x:v>
      </x:c>
      <x:c r="G137" s="23" t="n">
        <x:v>62.5</x:v>
      </x:c>
      <x:c r="H137" s="23" t="n">
        <x:v>3.66</x:v>
      </x:c>
      <x:c r="I137" s="23" t="n">
        <x:v>10.285513500859857</x:v>
      </x:c>
      <x:c r="J137" s="23" t="n">
        <x:v>0</x:v>
      </x:c>
      <x:c r="K137" s="23" t="n">
        <x:f>IF(D137="原价调整",E137,IF(OR(E137="",E137=0),C137,C137*(1-E137)))</x:f>
        <x:v>49.99</x:v>
      </x:c>
      <x:c r="L137" s="23" t="n">
        <x:f>IFERROR(G137/$B$2,0)</x:f>
        <x:v>9.191176470588236</x:v>
      </x:c>
      <x:c r="M137" s="23" t="n">
        <x:f>L137*$D$2*$F$2</x:f>
        <x:v>0.4365808823529412</x:v>
      </x:c>
      <x:c r="N137" s="23" t="n">
        <x:f>IF(J137&gt;0,J137*$H$2,K137*$J$2)</x:f>
        <x:v>1.9996</x:v>
      </x:c>
      <x:c r="O137" s="23" t="n">
        <x:f>MAX(K137*$L$2,$N$2)</x:f>
        <x:v>7.4985</x:v>
      </x:c>
      <x:c r="P137" s="23" t="n">
        <x:f>K137-L137-H137-I137-M137-N137-O137</x:f>
        <x:v>16.918629146198967</x:v>
      </x:c>
      <x:c r="Q137" s="30" t="n">
        <x:f>IF(K137&gt;0,P137/K137,0)</x:f>
        <x:v>0.338440270978175</x:v>
      </x:c>
      <x:c r="R137" s="33" t="n">
        <x:f>ROUND(P137*F137,2)</x:f>
        <x:v>0</x:v>
      </x:c>
    </x:row>
    <x:row r="138">
      <x:c r="A138" s="17" t="str">
        <x:v>PD17合计</x:v>
      </x:c>
      <x:c r="B138" s="17"/>
      <x:c r="C138" s="17"/>
      <x:c r="D138" s="17"/>
      <x:c r="E138" s="17"/>
      <x:c r="F138" s="27" t="n">
        <x:f>SUM(F5:F137)</x:f>
        <x:v>1372</x:v>
      </x:c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34" t="n">
        <x:f>SUM(R5:R137)</x:f>
        <x:v>12462.77</x:v>
      </x:c>
    </x:row>
  </x:sheetData>
  <x:mergeCells>
    <x:mergeCell ref="A1:R1"/>
    <x:mergeCell ref="A3:R3"/>
    <x:mergeCell ref="A138:E138"/>
  </x:mergeCells>
  <x:conditionalFormatting sqref="R5:R137">
    <x:cfRule type="cellIs" dxfId="0" priority="1" operator="lessThan">
      <x:formula>0</x:formula>
    </x:cfRule>
  </x:conditionalFormatting>
  <x:conditionalFormatting sqref="Q5:Q13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